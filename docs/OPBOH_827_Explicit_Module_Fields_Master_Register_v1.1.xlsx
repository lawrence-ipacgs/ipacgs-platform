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IPAC Governance System Corporate Gate Governance\IPAC Governance Systems SaaS Development\OPBOH REPORT\"/>
    </mc:Choice>
  </mc:AlternateContent>
  <xr:revisionPtr revIDLastSave="0" documentId="8_{C4BE8712-DB1A-4AB0-8AE5-168A13EFC824}" xr6:coauthVersionLast="47" xr6:coauthVersionMax="47" xr10:uidLastSave="{00000000-0000-0000-0000-000000000000}"/>
  <bookViews>
    <workbookView xWindow="-110" yWindow="-110" windowWidth="19420" windowHeight="11500" firstSheet="2" activeTab="5" xr2:uid="{00000000-000D-0000-FFFF-FFFF00000000}"/>
  </bookViews>
  <sheets>
    <sheet name="Overview" sheetId="1" r:id="rId1"/>
    <sheet name="827 Field Register" sheetId="2" r:id="rId2"/>
    <sheet name="Section Summary" sheetId="3" r:id="rId3"/>
    <sheet name="37 Work Packages" sheetId="4" r:id="rId4"/>
    <sheet name="Controlled Lists" sheetId="5" r:id="rId5"/>
    <sheet name="Source &amp; Contro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3" l="1"/>
  <c r="D62" i="3"/>
  <c r="E62" i="3" s="1"/>
  <c r="F61" i="3"/>
  <c r="D61" i="3"/>
  <c r="E61" i="3" s="1"/>
  <c r="F60" i="3"/>
  <c r="D60" i="3"/>
  <c r="E60" i="3" s="1"/>
  <c r="F59" i="3"/>
  <c r="D59" i="3"/>
  <c r="E59" i="3" s="1"/>
  <c r="F58" i="3"/>
  <c r="D58" i="3"/>
  <c r="E58" i="3" s="1"/>
  <c r="F57" i="3"/>
  <c r="D57" i="3"/>
  <c r="E57" i="3" s="1"/>
  <c r="F56" i="3"/>
  <c r="D56" i="3"/>
  <c r="E56" i="3" s="1"/>
  <c r="F55" i="3"/>
  <c r="D55" i="3"/>
  <c r="E55" i="3" s="1"/>
  <c r="F54" i="3"/>
  <c r="D54" i="3"/>
  <c r="E54" i="3" s="1"/>
  <c r="F53" i="3"/>
  <c r="D53" i="3"/>
  <c r="E53" i="3" s="1"/>
  <c r="F52" i="3"/>
  <c r="D52" i="3"/>
  <c r="E52" i="3" s="1"/>
  <c r="F51" i="3"/>
  <c r="D51" i="3"/>
  <c r="E51" i="3" s="1"/>
  <c r="F50" i="3"/>
  <c r="D50" i="3"/>
  <c r="E50" i="3" s="1"/>
  <c r="F49" i="3"/>
  <c r="D49" i="3"/>
  <c r="E49" i="3" s="1"/>
  <c r="F48" i="3"/>
  <c r="D48" i="3"/>
  <c r="E48" i="3" s="1"/>
  <c r="F47" i="3"/>
  <c r="D47" i="3"/>
  <c r="E47" i="3" s="1"/>
  <c r="F46" i="3"/>
  <c r="D46" i="3"/>
  <c r="E46" i="3" s="1"/>
  <c r="F45" i="3"/>
  <c r="D45" i="3"/>
  <c r="E45" i="3" s="1"/>
  <c r="F44" i="3"/>
  <c r="D44" i="3"/>
  <c r="E44" i="3" s="1"/>
  <c r="F43" i="3"/>
  <c r="D43" i="3"/>
  <c r="E43" i="3" s="1"/>
  <c r="F42" i="3"/>
  <c r="E42" i="3"/>
  <c r="D42" i="3"/>
  <c r="F41" i="3"/>
  <c r="D41" i="3"/>
  <c r="E41" i="3" s="1"/>
  <c r="F40" i="3"/>
  <c r="D40" i="3"/>
  <c r="E40" i="3" s="1"/>
  <c r="F39" i="3"/>
  <c r="D39" i="3"/>
  <c r="E39" i="3" s="1"/>
  <c r="F38" i="3"/>
  <c r="D38" i="3"/>
  <c r="E38" i="3" s="1"/>
  <c r="F37" i="3"/>
  <c r="D37" i="3"/>
  <c r="E37" i="3" s="1"/>
  <c r="F36" i="3"/>
  <c r="D36" i="3"/>
  <c r="E36" i="3" s="1"/>
  <c r="F35" i="3"/>
  <c r="D35" i="3"/>
  <c r="F34" i="3"/>
  <c r="D34" i="3"/>
  <c r="E34" i="3" s="1"/>
  <c r="F33" i="3"/>
  <c r="D33" i="3"/>
  <c r="E33" i="3" s="1"/>
  <c r="F32" i="3"/>
  <c r="D32" i="3"/>
  <c r="E32" i="3" s="1"/>
  <c r="F31" i="3"/>
  <c r="D31" i="3"/>
  <c r="E31" i="3" s="1"/>
  <c r="F30" i="3"/>
  <c r="D30" i="3"/>
  <c r="E30" i="3" s="1"/>
  <c r="F29" i="3"/>
  <c r="D29" i="3"/>
  <c r="E29" i="3" s="1"/>
  <c r="F28" i="3"/>
  <c r="D28" i="3"/>
  <c r="E28" i="3" s="1"/>
  <c r="F27" i="3"/>
  <c r="D27" i="3"/>
  <c r="E27" i="3" s="1"/>
  <c r="F26" i="3"/>
  <c r="E26" i="3"/>
  <c r="D26" i="3"/>
  <c r="F25" i="3"/>
  <c r="D25" i="3"/>
  <c r="E25" i="3" s="1"/>
  <c r="F24" i="3"/>
  <c r="D24" i="3"/>
  <c r="E24" i="3" s="1"/>
  <c r="F23" i="3"/>
  <c r="D23" i="3"/>
  <c r="E23" i="3" s="1"/>
  <c r="F22" i="3"/>
  <c r="D22" i="3"/>
  <c r="E22" i="3" s="1"/>
  <c r="F21" i="3"/>
  <c r="D21" i="3"/>
  <c r="E21" i="3" s="1"/>
  <c r="F20" i="3"/>
  <c r="D20" i="3"/>
  <c r="E20" i="3" s="1"/>
  <c r="F19" i="3"/>
  <c r="D19" i="3"/>
  <c r="E19" i="3" s="1"/>
  <c r="F18" i="3"/>
  <c r="D18" i="3"/>
  <c r="E18" i="3" s="1"/>
  <c r="F17" i="3"/>
  <c r="D17" i="3"/>
  <c r="E17" i="3" s="1"/>
  <c r="F16" i="3"/>
  <c r="D16" i="3"/>
  <c r="E16" i="3" s="1"/>
  <c r="F15" i="3"/>
  <c r="D15" i="3"/>
  <c r="E15" i="3" s="1"/>
  <c r="F14" i="3"/>
  <c r="D14" i="3"/>
  <c r="E14" i="3" s="1"/>
  <c r="F13" i="3"/>
  <c r="D13" i="3"/>
  <c r="E13" i="3" s="1"/>
  <c r="F12" i="3"/>
  <c r="D12" i="3"/>
  <c r="E12" i="3" s="1"/>
  <c r="F11" i="3"/>
  <c r="D11" i="3"/>
  <c r="E11" i="3" s="1"/>
  <c r="F10" i="3"/>
  <c r="D10" i="3"/>
  <c r="E10" i="3" s="1"/>
  <c r="F9" i="3"/>
  <c r="D9" i="3"/>
  <c r="E9" i="3" s="1"/>
  <c r="F8" i="3"/>
  <c r="D8" i="3"/>
  <c r="E8" i="3" s="1"/>
  <c r="F7" i="3"/>
  <c r="D7" i="3"/>
  <c r="E7" i="3" s="1"/>
  <c r="F6" i="3"/>
  <c r="D6" i="3"/>
  <c r="E6" i="3" s="1"/>
  <c r="F5" i="3"/>
  <c r="D5" i="3"/>
  <c r="E5" i="3" s="1"/>
  <c r="H18" i="1"/>
  <c r="C18" i="1"/>
  <c r="D18" i="1" s="1"/>
  <c r="H17" i="1"/>
  <c r="C17" i="1"/>
  <c r="D17" i="1" s="1"/>
  <c r="H16" i="1"/>
  <c r="C16" i="1"/>
  <c r="D16" i="1" s="1"/>
  <c r="H15" i="1"/>
  <c r="C15" i="1"/>
  <c r="D15" i="1" s="1"/>
  <c r="E35" i="3" l="1"/>
  <c r="E64" i="3" s="1"/>
  <c r="D64" i="3"/>
</calcChain>
</file>

<file path=xl/sharedStrings.xml><?xml version="1.0" encoding="utf-8"?>
<sst xmlns="http://schemas.openxmlformats.org/spreadsheetml/2006/main" count="7553" uniqueCount="3249">
  <si>
    <t>OPBOH™ 827 Explicit Module Fields</t>
  </si>
  <si>
    <t>Full-Cycle Assessment Module | Controlled Master Register | Version 1.1</t>
  </si>
  <si>
    <t>End-to-End Governance. Evidence-Based Decisions. Assured Outcomes.</t>
  </si>
  <si>
    <t>827
Explicit module fields</t>
  </si>
  <si>
    <t>37
Controlled work packages</t>
  </si>
  <si>
    <t>3,700
Source assessment questions</t>
  </si>
  <si>
    <t>v1.1
Controlled specification</t>
  </si>
  <si>
    <t>Workbook purpose</t>
  </si>
  <si>
    <t>This workbook operationalises the complete 827-field data dictionary defined by IPACGS-OPBOH-MOD-FLD-001. It provides one filterable register for system configuration, assessment design, evidence control, scoring, workflow, stage-gate decisions, delivery assurance, operations and impact continuity.</t>
  </si>
  <si>
    <t>Required Indicator</t>
  </si>
  <si>
    <t>Meaning</t>
  </si>
  <si>
    <t>Register Count</t>
  </si>
  <si>
    <t>% of Fields</t>
  </si>
  <si>
    <t>Control</t>
  </si>
  <si>
    <t>Status</t>
  </si>
  <si>
    <t>Result</t>
  </si>
  <si>
    <t>M</t>
  </si>
  <si>
    <t>Mandatory</t>
  </si>
  <si>
    <t>Field count</t>
  </si>
  <si>
    <t>Must equal 827</t>
  </si>
  <si>
    <t>M/C</t>
  </si>
  <si>
    <t>Mandatory when applicability rule is true</t>
  </si>
  <si>
    <t>Unique field codes</t>
  </si>
  <si>
    <t>Validated during controlled build</t>
  </si>
  <si>
    <t>C</t>
  </si>
  <si>
    <t>Conditional</t>
  </si>
  <si>
    <t>Work packages</t>
  </si>
  <si>
    <t>Must equal 37</t>
  </si>
  <si>
    <t>O</t>
  </si>
  <si>
    <t>Optional/supporting</t>
  </si>
  <si>
    <t>Blank field codes</t>
  </si>
  <si>
    <t>Must equal 0</t>
  </si>
  <si>
    <t>Controlled principle: A date, percentage or tick does not authorise progression. Accepted, current and traceable evidence, reviewed by the correct authority, is required before a gate decision may be issued.</t>
  </si>
  <si>
    <t>OPBOH™ Controlled Field Register</t>
  </si>
  <si>
    <t>827 unique explicit fields extracted from the approved v1.1 field-requirements specification</t>
  </si>
  <si>
    <t>Filter by section, module family, work package, requirement or field code. Field meanings below preserve the controlled source wording.</t>
  </si>
  <si>
    <t>No.</t>
  </si>
  <si>
    <t>Section</t>
  </si>
  <si>
    <t>Section Title</t>
  </si>
  <si>
    <t>Module Family</t>
  </si>
  <si>
    <t>WP Code</t>
  </si>
  <si>
    <t>Work Package</t>
  </si>
  <si>
    <t>Field Code</t>
  </si>
  <si>
    <t>Field Name</t>
  </si>
  <si>
    <t>Req.</t>
  </si>
  <si>
    <t>Data Type / Allowed Values</t>
  </si>
  <si>
    <t>Validation and Assurance Use</t>
  </si>
  <si>
    <t>5</t>
  </si>
  <si>
    <t>Universal Record, Version and Control Metadata</t>
  </si>
  <si>
    <t>GEN-001</t>
  </si>
  <si>
    <t>Global record ID</t>
  </si>
  <si>
    <t>UUID / immutable identifier</t>
  </si>
  <si>
    <t>Unique across the platform; required for traceability and reconciliation.</t>
  </si>
  <si>
    <t>GEN-002</t>
  </si>
  <si>
    <t>Tenant / portfolio ID</t>
  </si>
  <si>
    <t>Linked identifier</t>
  </si>
  <si>
    <t>Separates organisation and portfolio records and supports controlled reporting.</t>
  </si>
  <si>
    <t>GEN-003</t>
  </si>
  <si>
    <t>Project ID</t>
  </si>
  <si>
    <t>Joins the record to the authoritative master project record.</t>
  </si>
  <si>
    <t>GEN-004</t>
  </si>
  <si>
    <t>Record type</t>
  </si>
  <si>
    <t>Controlled list</t>
  </si>
  <si>
    <t>Identifies question, response, evidence, risk, action, decision, asset, indicator or other object.</t>
  </si>
  <si>
    <t>GEN-005</t>
  </si>
  <si>
    <t>Record title</t>
  </si>
  <si>
    <t>Text 1-250 characters</t>
  </si>
  <si>
    <t>Human-readable label used in search, registers and reports.</t>
  </si>
  <si>
    <t>GEN-006</t>
  </si>
  <si>
    <t>Record description</t>
  </si>
  <si>
    <t>Long text</t>
  </si>
  <si>
    <t>Defines the content and prevents ambiguous interpretation.</t>
  </si>
  <si>
    <t>GEN-007</t>
  </si>
  <si>
    <t>Record status</t>
  </si>
  <si>
    <t>Draft / Active / Under Review / Accepted / Rejected / Withdrawn / Superseded / Archived</t>
  </si>
  <si>
    <t>Controls workflow eligibility and use in assurance decisions.</t>
  </si>
  <si>
    <t>GEN-008</t>
  </si>
  <si>
    <t>Record owner</t>
  </si>
  <si>
    <t>Linked person / role</t>
  </si>
  <si>
    <t>Establishes accountability for accuracy, maintenance and closure.</t>
  </si>
  <si>
    <t>GEN-009</t>
  </si>
  <si>
    <t>Business data steward</t>
  </si>
  <si>
    <t>Identifies the person responsible for data quality and source reconciliation.</t>
  </si>
  <si>
    <t>GEN-010</t>
  </si>
  <si>
    <t>Source system / origin</t>
  </si>
  <si>
    <t>Controlled list + reference</t>
  </si>
  <si>
    <t>Distinguishes primary evidence, imported data, assessor entry and generated data.</t>
  </si>
  <si>
    <t>GEN-011</t>
  </si>
  <si>
    <t>Source reference</t>
  </si>
  <si>
    <t>Text / URI / register number</t>
  </si>
  <si>
    <t>Provides traceability to the originating document, register or external system.</t>
  </si>
  <si>
    <t>GEN-012</t>
  </si>
  <si>
    <t>Effective-from date</t>
  </si>
  <si>
    <t>Date-time</t>
  </si>
  <si>
    <t>Determines when the record becomes valid for assessment use.</t>
  </si>
  <si>
    <t>GEN-013</t>
  </si>
  <si>
    <t>Effective-to / expiry date</t>
  </si>
  <si>
    <t>Date-time / null</t>
  </si>
  <si>
    <t>Supports freshness, expiry alerts and withdrawal from active decision use.</t>
  </si>
  <si>
    <t>GEN-014</t>
  </si>
  <si>
    <t>Created by / created date</t>
  </si>
  <si>
    <t>System audit fields</t>
  </si>
  <si>
    <t>Provides immutable provenance.</t>
  </si>
  <si>
    <t>GEN-015</t>
  </si>
  <si>
    <t>Last updated by / updated date</t>
  </si>
  <si>
    <t>Supports accountability and point-in-time reconstruction.</t>
  </si>
  <si>
    <t>GEN-016</t>
  </si>
  <si>
    <t>Version number</t>
  </si>
  <si>
    <t>Major.minor / integer</t>
  </si>
  <si>
    <t>Prevents use of superseded facts and enables controlled change.</t>
  </si>
  <si>
    <t>GEN-017</t>
  </si>
  <si>
    <t>Approval state</t>
  </si>
  <si>
    <t>Unapproved / Reviewed / Approved / Rejected / Superseded</t>
  </si>
  <si>
    <t>Identifies whether a material field may influence scoring or decisions.</t>
  </si>
  <si>
    <t>GEN-018</t>
  </si>
  <si>
    <t>Approver and approval date</t>
  </si>
  <si>
    <t>Linked user + date-time</t>
  </si>
  <si>
    <t>Required for material data used in gates, reports or financial models.</t>
  </si>
  <si>
    <t>GEN-019</t>
  </si>
  <si>
    <t>Data classification</t>
  </si>
  <si>
    <t>Public / Internal / Confidential / Strictly Confidential / Restricted</t>
  </si>
  <si>
    <t>Controls access, export and data-room release.</t>
  </si>
  <si>
    <t>GEN-020</t>
  </si>
  <si>
    <t>Retention / disposal class</t>
  </si>
  <si>
    <t>Controlled schedule</t>
  </si>
  <si>
    <t>Supports lawful preservation, legal hold and archival.</t>
  </si>
  <si>
    <t>GEN-021</t>
  </si>
  <si>
    <t>Data-quality status</t>
  </si>
  <si>
    <t>Complete / Partial / Invalid / Conflicting / Stale / Verified</t>
  </si>
  <si>
    <t>Feeds evidence confidence and assurance caveats.</t>
  </si>
  <si>
    <t>GEN-022</t>
  </si>
  <si>
    <t>Completeness percentage</t>
  </si>
  <si>
    <t>0-100% calculated</t>
  </si>
  <si>
    <t>Measures population of required applicable fields.</t>
  </si>
  <si>
    <t>GEN-023</t>
  </si>
  <si>
    <t>Validation result</t>
  </si>
  <si>
    <t>Passed / Warning / Failed + rule ID</t>
  </si>
  <si>
    <t>Shows whether field and cross-record rules are satisfied.</t>
  </si>
  <si>
    <t>GEN-024</t>
  </si>
  <si>
    <t>Reconciliation status</t>
  </si>
  <si>
    <t>Not Required / Pending / Matched / Exception / Resolved</t>
  </si>
  <si>
    <t>Controls conflicting values from documents and integrations.</t>
  </si>
  <si>
    <t>GEN-025</t>
  </si>
  <si>
    <t>Audit correlation ID</t>
  </si>
  <si>
    <t>System identifier</t>
  </si>
  <si>
    <t>Links all changes, approvals and exports in one audit chain.</t>
  </si>
  <si>
    <t>6</t>
  </si>
  <si>
    <t>Opportunity, Project and Portfolio Master Data</t>
  </si>
  <si>
    <t>PRJ-001</t>
  </si>
  <si>
    <t>Opportunity intake number</t>
  </si>
  <si>
    <t>Structured identifier</t>
  </si>
  <si>
    <t>Links source, intake decision and initial OPBOH baseline.</t>
  </si>
  <si>
    <t>PRJ-002</t>
  </si>
  <si>
    <t>Opportunity source</t>
  </si>
  <si>
    <t>Referral / Direct / Authority / Funder / Developer / Other</t>
  </si>
  <si>
    <t>Supports provenance, conflict checks and conversion analysis.</t>
  </si>
  <si>
    <t>PRJ-003</t>
  </si>
  <si>
    <t>Project legal name</t>
  </si>
  <si>
    <t>Text</t>
  </si>
  <si>
    <t>Authoritative name used in agreements, approvals and funding records.</t>
  </si>
  <si>
    <t>PRJ-004</t>
  </si>
  <si>
    <t>Project trading / short name</t>
  </si>
  <si>
    <t>Supports dashboards and communications without replacing legal name.</t>
  </si>
  <si>
    <t>PRJ-005</t>
  </si>
  <si>
    <t>Project type</t>
  </si>
  <si>
    <t>Controlled sector taxonomy</t>
  </si>
  <si>
    <t>Drives applicability of shopping-complex, filling-station and other control packs.</t>
  </si>
  <si>
    <t>PRJ-006</t>
  </si>
  <si>
    <t>Development components</t>
  </si>
  <si>
    <t>Multi-select</t>
  </si>
  <si>
    <t>Examples: retail centre, anchor store, line shops, QSR, filling station, C-store, roads, utilities.</t>
  </si>
  <si>
    <t>PRJ-007</t>
  </si>
  <si>
    <t>Sector and subsector</t>
  </si>
  <si>
    <t>Controlled taxonomy</t>
  </si>
  <si>
    <t>Determines sector-specific controls, comparators and reporting.</t>
  </si>
  <si>
    <t>PRJ-008</t>
  </si>
  <si>
    <t>Jurisdiction</t>
  </si>
  <si>
    <t>Country / province / municipality</t>
  </si>
  <si>
    <t>Determines legal, permit and authority applicability.</t>
  </si>
  <si>
    <t>PRJ-009</t>
  </si>
  <si>
    <t>Project sponsor / owner</t>
  </si>
  <si>
    <t>Linked organisation</t>
  </si>
  <si>
    <t>Identifies mandate, evidence and funding accountability.</t>
  </si>
  <si>
    <t>PRJ-010</t>
  </si>
  <si>
    <t>Developer / implementing entity</t>
  </si>
  <si>
    <t>Identifies delivery authority and capability to be assessed.</t>
  </si>
  <si>
    <t>PRJ-011</t>
  </si>
  <si>
    <t>Project purpose / strategic case</t>
  </si>
  <si>
    <t>Records the need, intended value and strategic alignment.</t>
  </si>
  <si>
    <t>PRJ-012</t>
  </si>
  <si>
    <t>Project vision and objectives</t>
  </si>
  <si>
    <t>Structured objectives</t>
  </si>
  <si>
    <t>Provides the reference for outcomes, tests and gate decisions.</t>
  </si>
  <si>
    <t>PRJ-013</t>
  </si>
  <si>
    <t>Scope statement</t>
  </si>
  <si>
    <t>Long text + scope baseline reference</t>
  </si>
  <si>
    <t>Defines included assets, services, works and boundaries.</t>
  </si>
  <si>
    <t>PRJ-014</t>
  </si>
  <si>
    <t>Exclusions / out-of-scope items</t>
  </si>
  <si>
    <t>Prevents false assurance over excluded work.</t>
  </si>
  <si>
    <t>PRJ-015</t>
  </si>
  <si>
    <t>Current lifecycle stage</t>
  </si>
  <si>
    <t>S1-S21 / configured</t>
  </si>
  <si>
    <t>Positions the project in the full lifecycle.</t>
  </si>
  <si>
    <t>PRJ-016</t>
  </si>
  <si>
    <t>Current executive gate</t>
  </si>
  <si>
    <t>Gate 0-Gate 10</t>
  </si>
  <si>
    <t>Determines permitted decisions and downstream restrictions.</t>
  </si>
  <si>
    <t>PRJ-017</t>
  </si>
  <si>
    <t>Current work package</t>
  </si>
  <si>
    <t>WP1-WP37 / multi-select</t>
  </si>
  <si>
    <t>Maps the assessment to the detailed full-cycle control point.</t>
  </si>
  <si>
    <t>PRJ-018</t>
  </si>
  <si>
    <t>Project status</t>
  </si>
  <si>
    <t>Proposed / Active / Held / Remediating / Stopped / Operational / Closed</t>
  </si>
  <si>
    <t>Controls workflow and portfolio reporting.</t>
  </si>
  <si>
    <t>PRJ-019</t>
  </si>
  <si>
    <t>Planned start and completion dates</t>
  </si>
  <si>
    <t>Dates</t>
  </si>
  <si>
    <t>Supports schedule baseline and timing risk, but does not authorise progression.</t>
  </si>
  <si>
    <t>PRJ-020</t>
  </si>
  <si>
    <t>Approved baseline cost</t>
  </si>
  <si>
    <t>Currency</t>
  </si>
  <si>
    <t>Reference value for affordability, funding and change control.</t>
  </si>
  <si>
    <t>PRJ-021</t>
  </si>
  <si>
    <t>Current forecast cost</t>
  </si>
  <si>
    <t>Shows expected cost and variance from approved baseline.</t>
  </si>
  <si>
    <t>PRJ-022</t>
  </si>
  <si>
    <t>Funding requirement</t>
  </si>
  <si>
    <t>Currency + timing</t>
  </si>
  <si>
    <t>Feeds funding readiness and capital strategy.</t>
  </si>
  <si>
    <t>PRJ-023</t>
  </si>
  <si>
    <t>Delivery model</t>
  </si>
  <si>
    <t>Design-bid-build / EPC / Turnkey / JV / Other</t>
  </si>
  <si>
    <t>Determines contract, risk and assurance requirements.</t>
  </si>
  <si>
    <t>PRJ-024</t>
  </si>
  <si>
    <t>Strategic priority and criticality</t>
  </si>
  <si>
    <t>Scale / category</t>
  </si>
  <si>
    <t>Supports portfolio oversight and escalation.</t>
  </si>
  <si>
    <t>PRJ-025</t>
  </si>
  <si>
    <t>Overall project health</t>
  </si>
  <si>
    <t>Calculated RAG + narrative</t>
  </si>
  <si>
    <t>Summarises evidence, readiness, risk, value and continuity without concealing critical failures.</t>
  </si>
  <si>
    <t>7</t>
  </si>
  <si>
    <t>Organisation, Sponsor, Ownership and Governance</t>
  </si>
  <si>
    <t>ORG-001</t>
  </si>
  <si>
    <t>Organisation legal name and registration number</t>
  </si>
  <si>
    <t>Verifies legal existence and contracting capacity.</t>
  </si>
  <si>
    <t>ORG-002</t>
  </si>
  <si>
    <t>Trading name</t>
  </si>
  <si>
    <t>Links operating identity to the legal entity.</t>
  </si>
  <si>
    <t>ORG-003</t>
  </si>
  <si>
    <t>Entity type</t>
  </si>
  <si>
    <t>Company / Trust / NPO / Public body / Partnership / Other</t>
  </si>
  <si>
    <t>Determines governing-document and authority requirements.</t>
  </si>
  <si>
    <t>ORG-004</t>
  </si>
  <si>
    <t>Registered address and principal place of business</t>
  </si>
  <si>
    <t>Structured address</t>
  </si>
  <si>
    <t>Supports legal notices, jurisdiction and KYC.</t>
  </si>
  <si>
    <t>ORG-005</t>
  </si>
  <si>
    <t>Tax status and tax number</t>
  </si>
  <si>
    <t>Status + identifier + evidence</t>
  </si>
  <si>
    <t>Tests compliance and funding readiness.</t>
  </si>
  <si>
    <t>ORG-006</t>
  </si>
  <si>
    <t>Beneficial owners and ownership percentages</t>
  </si>
  <si>
    <t>Linked parties + percentage</t>
  </si>
  <si>
    <t>Supports authority, conflict, integrity and related-party controls.</t>
  </si>
  <si>
    <t>ORG-007</t>
  </si>
  <si>
    <t>Shareholding / control evidence</t>
  </si>
  <si>
    <t>Document links</t>
  </si>
  <si>
    <t>Confirms ownership, voting rights and control.</t>
  </si>
  <si>
    <t>ORG-008</t>
  </si>
  <si>
    <t>Directors / trustees / members</t>
  </si>
  <si>
    <t>Linked persons + effective dates</t>
  </si>
  <si>
    <t>Identifies governing actors and mandate.</t>
  </si>
  <si>
    <t>ORG-009</t>
  </si>
  <si>
    <t>Sponsor mandate / board resolution</t>
  </si>
  <si>
    <t>Document link + approval date</t>
  </si>
  <si>
    <t>Confirms authority to propose, fund and bind the entity.</t>
  </si>
  <si>
    <t>ORG-010</t>
  </si>
  <si>
    <t>Governance bodies and committees</t>
  </si>
  <si>
    <t>Linked structures</t>
  </si>
  <si>
    <t>Defines oversight and decision forums.</t>
  </si>
  <si>
    <t>ORG-011</t>
  </si>
  <si>
    <t>Committee mandates / charters</t>
  </si>
  <si>
    <t>Tests scope of authority and accountability.</t>
  </si>
  <si>
    <t>ORG-012</t>
  </si>
  <si>
    <t>Delegated authority matrix</t>
  </si>
  <si>
    <t>Structured limits + evidence</t>
  </si>
  <si>
    <t>Validates who may approve scope, contracts, payments and gates.</t>
  </si>
  <si>
    <t>ORG-013</t>
  </si>
  <si>
    <t>Reserved matters</t>
  </si>
  <si>
    <t>Controlled register</t>
  </si>
  <si>
    <t>Identifies decisions requiring higher approval.</t>
  </si>
  <si>
    <t>ORG-014</t>
  </si>
  <si>
    <t>Quorum rules and decision requirements</t>
  </si>
  <si>
    <t>Structured rules</t>
  </si>
  <si>
    <t>Prevents invalid approvals.</t>
  </si>
  <si>
    <t>ORG-015</t>
  </si>
  <si>
    <t>Conflict-of-interest declarations</t>
  </si>
  <si>
    <t>Status + declarations</t>
  </si>
  <si>
    <t>Supports recusal and integrity controls.</t>
  </si>
  <si>
    <t>ORG-016</t>
  </si>
  <si>
    <t>Related-party relationships</t>
  </si>
  <si>
    <t>Linked party graph</t>
  </si>
  <si>
    <t>Feeds procurement, funding and forensic screening.</t>
  </si>
  <si>
    <t>ORG-017</t>
  </si>
  <si>
    <t>Governance meeting and decision register</t>
  </si>
  <si>
    <t>Linked records</t>
  </si>
  <si>
    <t>Provides traceable decisions and action follow-up.</t>
  </si>
  <si>
    <t>ORG-018</t>
  </si>
  <si>
    <t>Sponsor financial capacity</t>
  </si>
  <si>
    <t>Rating + evidence</t>
  </si>
  <si>
    <t>Tests ability to fund equity, overruns and operating support.</t>
  </si>
  <si>
    <t>ORG-019</t>
  </si>
  <si>
    <t>Sponsor technical / management capacity</t>
  </si>
  <si>
    <t>Capability rating + evidence</t>
  </si>
  <si>
    <t>Tests ability to govern and deliver the project.</t>
  </si>
  <si>
    <t>ORG-020</t>
  </si>
  <si>
    <t>KYC / sanctions / PEP screening status</t>
  </si>
  <si>
    <t>Status + date + provider</t>
  </si>
  <si>
    <t>Applied where lawful and required by funders or policy.</t>
  </si>
  <si>
    <t>ORG-021</t>
  </si>
  <si>
    <t>Insurance and indemnity profile</t>
  </si>
  <si>
    <t>Policies + limits + expiry</t>
  </si>
  <si>
    <t>Tests sponsor and professional risk protection.</t>
  </si>
  <si>
    <t>ORG-022</t>
  </si>
  <si>
    <t>Key-person dependency</t>
  </si>
  <si>
    <t>Rating + mitigation</t>
  </si>
  <si>
    <t>Identifies concentration and continuity risk.</t>
  </si>
  <si>
    <t>ORG-023</t>
  </si>
  <si>
    <t>Governance assurance opinion</t>
  </si>
  <si>
    <t>Opinion + scope + validity</t>
  </si>
  <si>
    <t>States whether authority, oversight and segregation are adequate.</t>
  </si>
  <si>
    <t>8</t>
  </si>
  <si>
    <t>Site, Land, Property and Location Control</t>
  </si>
  <si>
    <t>LND-001</t>
  </si>
  <si>
    <t>Site / parcel ID</t>
  </si>
  <si>
    <t>Unique identifier</t>
  </si>
  <si>
    <t>Links all land, survey, zoning, design and evidence records.</t>
  </si>
  <si>
    <t>LND-002</t>
  </si>
  <si>
    <t>Physical address and coordinates</t>
  </si>
  <si>
    <t>Address + latitude/longitude</t>
  </si>
  <si>
    <t>Locates the development and supports GIS validation.</t>
  </si>
  <si>
    <t>LND-003</t>
  </si>
  <si>
    <t>Province, municipality and ward</t>
  </si>
  <si>
    <t>Controlled jurisdiction</t>
  </si>
  <si>
    <t>Determines authority and community interface.</t>
  </si>
  <si>
    <t>LND-004</t>
  </si>
  <si>
    <t>Erf / farm / portion description</t>
  </si>
  <si>
    <t>Must match title and Surveyor-General records.</t>
  </si>
  <si>
    <t>LND-005</t>
  </si>
  <si>
    <t>Site extent</t>
  </si>
  <si>
    <t>Decimal hectares / m2</t>
  </si>
  <si>
    <t>Supports planning, feasibility and boundary validation.</t>
  </si>
  <si>
    <t>LND-006</t>
  </si>
  <si>
    <t>Title deed number and registered owner</t>
  </si>
  <si>
    <t>Text + linked party</t>
  </si>
  <si>
    <t>Confirms registered ownership.</t>
  </si>
  <si>
    <t>LND-007</t>
  </si>
  <si>
    <t>Tenure / control type</t>
  </si>
  <si>
    <t>Owned / Lease / Option / Sale agreement / Consent / Other</t>
  </si>
  <si>
    <t>Tests legal control and duration.</t>
  </si>
  <si>
    <t>LND-008</t>
  </si>
  <si>
    <t>Land-control agreement dates and conditions</t>
  </si>
  <si>
    <t>Dates + obligations</t>
  </si>
  <si>
    <t>Determines security, expiry and conditions precedent.</t>
  </si>
  <si>
    <t>LND-009</t>
  </si>
  <si>
    <t>SG diagram / general plan reference</t>
  </si>
  <si>
    <t>Document / reference</t>
  </si>
  <si>
    <t>Supports boundary and cadastral verification.</t>
  </si>
  <si>
    <t>LND-010</t>
  </si>
  <si>
    <t>Survey status and surveyor</t>
  </si>
  <si>
    <t>Status + professional</t>
  </si>
  <si>
    <t>Confirms boundaries, beacons and encroachments.</t>
  </si>
  <si>
    <t>LND-011</t>
  </si>
  <si>
    <t>Servitudes / restrictions / endorsements</t>
  </si>
  <si>
    <t>Register entries</t>
  </si>
  <si>
    <t>Identifies constraints affecting design, access and funding.</t>
  </si>
  <si>
    <t>LND-012</t>
  </si>
  <si>
    <t>Wayleaves and third-party rights</t>
  </si>
  <si>
    <t>Controls infrastructure and access rights.</t>
  </si>
  <si>
    <t>LND-013</t>
  </si>
  <si>
    <t>Current zoning and land-use rights</t>
  </si>
  <si>
    <t>Structured status</t>
  </si>
  <si>
    <t>Tests permitted use and rezoning pathway.</t>
  </si>
  <si>
    <t>LND-014</t>
  </si>
  <si>
    <t>Title conditions affecting development</t>
  </si>
  <si>
    <t>Long text + legal opinion</t>
  </si>
  <si>
    <t>Identifies fatal flaws or required consents.</t>
  </si>
  <si>
    <t>LND-015</t>
  </si>
  <si>
    <t>Access rights and road authority</t>
  </si>
  <si>
    <t>Structured right + authority</t>
  </si>
  <si>
    <t>Confirms lawful and technically acceptable access.</t>
  </si>
  <si>
    <t>LND-016</t>
  </si>
  <si>
    <t>Topography / slope / geotechnical summary</t>
  </si>
  <si>
    <t>Structured findings</t>
  </si>
  <si>
    <t>Feeds design, cost and constructability risk.</t>
  </si>
  <si>
    <t>LND-017</t>
  </si>
  <si>
    <t>Floodline / wetland / environmental sensitivity</t>
  </si>
  <si>
    <t>Spatial status + evidence</t>
  </si>
  <si>
    <t>Feeds environmental applicability and fatal-flaw screening.</t>
  </si>
  <si>
    <t>LND-018</t>
  </si>
  <si>
    <t>Existing structures / occupants / informal uses</t>
  </si>
  <si>
    <t>Inventory + status</t>
  </si>
  <si>
    <t>Identifies relocation, demolition and stakeholder obligations.</t>
  </si>
  <si>
    <t>LND-019</t>
  </si>
  <si>
    <t>Bulk services proximity and capacity</t>
  </si>
  <si>
    <t>Water / sewer / power / stormwater / ICT</t>
  </si>
  <si>
    <t>Feeds feasibility, cost and programme.</t>
  </si>
  <si>
    <t>LND-020</t>
  </si>
  <si>
    <t>Land value / acquisition cost</t>
  </si>
  <si>
    <t>Currency + valuation date</t>
  </si>
  <si>
    <t>Feeds financial model and security assessment.</t>
  </si>
  <si>
    <t>LND-021</t>
  </si>
  <si>
    <t>Land due-diligence status</t>
  </si>
  <si>
    <t>Not Started / Partial / Complete / Exception</t>
  </si>
  <si>
    <t>Summarises ownership, rights, constraints and evidence.</t>
  </si>
  <si>
    <t>LND-022</t>
  </si>
  <si>
    <t>Land fatal-flaw status</t>
  </si>
  <si>
    <t>None / Potential / Confirmed + reason</t>
  </si>
  <si>
    <t>Triggers Hold/Stop where ownership, access or development rights are unresolved.</t>
  </si>
  <si>
    <t>9</t>
  </si>
  <si>
    <t>Stakeholder, Authority and Public-Participation Data</t>
  </si>
  <si>
    <t>STK-001</t>
  </si>
  <si>
    <t>Stakeholder ID and category</t>
  </si>
  <si>
    <t>Identifier + controlled list</t>
  </si>
  <si>
    <t>Creates one record for authorities, communities, landowners, tenants, funders and operators.</t>
  </si>
  <si>
    <t>STK-002</t>
  </si>
  <si>
    <t>Stakeholder name and organisation</t>
  </si>
  <si>
    <t>Text / linked party</t>
  </si>
  <si>
    <t>Supports traceable engagement.</t>
  </si>
  <si>
    <t>STK-003</t>
  </si>
  <si>
    <t>Role, rights and legitimate interest</t>
  </si>
  <si>
    <t>Structured description</t>
  </si>
  <si>
    <t>Determines consultation, consent and protection requirements.</t>
  </si>
  <si>
    <t>STK-004</t>
  </si>
  <si>
    <t>Influence / impact / vulnerability rating</t>
  </si>
  <si>
    <t>Scale + rationale</t>
  </si>
  <si>
    <t>Prioritises engagement and safeguards.</t>
  </si>
  <si>
    <t>STK-005</t>
  </si>
  <si>
    <t>Contact details and preferred language/channel</t>
  </si>
  <si>
    <t>Structured contact</t>
  </si>
  <si>
    <t>Supports accessible and appropriate communication.</t>
  </si>
  <si>
    <t>STK-006</t>
  </si>
  <si>
    <t>Consent / lawful-basis status</t>
  </si>
  <si>
    <t>Status + date</t>
  </si>
  <si>
    <t>Controls processing of personal information.</t>
  </si>
  <si>
    <t>STK-007</t>
  </si>
  <si>
    <t>Engagement strategy and frequency</t>
  </si>
  <si>
    <t>Plan + cadence</t>
  </si>
  <si>
    <t>Defines how stakeholder acceptance will be tested.</t>
  </si>
  <si>
    <t>STK-008</t>
  </si>
  <si>
    <t>Engagement event details</t>
  </si>
  <si>
    <t>Date, venue, attendees, facilitator</t>
  </si>
  <si>
    <t>Provides a verifiable engagement trail.</t>
  </si>
  <si>
    <t>STK-009</t>
  </si>
  <si>
    <t>Information disclosed</t>
  </si>
  <si>
    <t>Document links + version</t>
  </si>
  <si>
    <t>Confirms what stakeholders were asked to consider.</t>
  </si>
  <si>
    <t>STK-010</t>
  </si>
  <si>
    <t>Issue / concern / request raised</t>
  </si>
  <si>
    <t>Long text + category</t>
  </si>
  <si>
    <t>Feeds risk, design and commitment registers.</t>
  </si>
  <si>
    <t>STK-011</t>
  </si>
  <si>
    <t>Commitment / undertaking made</t>
  </si>
  <si>
    <t>Text + accountable owner</t>
  </si>
  <si>
    <t>Prevents untracked promises.</t>
  </si>
  <si>
    <t>STK-012</t>
  </si>
  <si>
    <t>Response / resolution status</t>
  </si>
  <si>
    <t>Open / Pending / Resolved / Disputed</t>
  </si>
  <si>
    <t>Shows whether issues remain material.</t>
  </si>
  <si>
    <t>STK-013</t>
  </si>
  <si>
    <t>Grievance / complaint record</t>
  </si>
  <si>
    <t>Case details + remedy</t>
  </si>
  <si>
    <t>Supports social licence and accountability.</t>
  </si>
  <si>
    <t>STK-014</t>
  </si>
  <si>
    <t>Community-benefit expectation</t>
  </si>
  <si>
    <t>Structured expectation</t>
  </si>
  <si>
    <t>Feeds impact and local-development planning.</t>
  </si>
  <si>
    <t>STK-015</t>
  </si>
  <si>
    <t>Public-participation compliance status</t>
  </si>
  <si>
    <t>Status + evidence</t>
  </si>
  <si>
    <t>Confirms statutory process where required.</t>
  </si>
  <si>
    <t>STK-016</t>
  </si>
  <si>
    <t>Stakeholder acceptance indicator</t>
  </si>
  <si>
    <t>Support / Neutral / Concern / Objection / Unknown</t>
  </si>
  <si>
    <t>Feeds gate recommendation and residual conditions.</t>
  </si>
  <si>
    <t>STK-017</t>
  </si>
  <si>
    <t>Authority comments and conditions</t>
  </si>
  <si>
    <t>Structured register</t>
  </si>
  <si>
    <t>Ensures submissions and approvals address comments.</t>
  </si>
  <si>
    <t>STK-018</t>
  </si>
  <si>
    <t>Engagement evidence sufficiency</t>
  </si>
  <si>
    <t>0-100% + RAG</t>
  </si>
  <si>
    <t>Measures attendance, records, disclosure, response and closure evidence.</t>
  </si>
  <si>
    <t>STK-019</t>
  </si>
  <si>
    <t>Stakeholder assurance opinion</t>
  </si>
  <si>
    <t>Opinion + conditions</t>
  </si>
  <si>
    <t>States whether rights, participation, commitments and acceptance are adequately managed.</t>
  </si>
  <si>
    <t>10</t>
  </si>
  <si>
    <t>OPBOH Question and Control Catalogue Configuration</t>
  </si>
  <si>
    <t>QST-001</t>
  </si>
  <si>
    <t>Framework rule / code</t>
  </si>
  <si>
    <t>OPBOH / supporting pack code</t>
  </si>
  <si>
    <t>Preserves authoritative framework identity and mappings.</t>
  </si>
  <si>
    <t>QST-002</t>
  </si>
  <si>
    <t>Framework version</t>
  </si>
  <si>
    <t>Controlled version</t>
  </si>
  <si>
    <t>Reproduces the exact question and scoring baseline.</t>
  </si>
  <si>
    <t>QST-003</t>
  </si>
  <si>
    <t>Assessment pack name</t>
  </si>
  <si>
    <t>Identifies the full-cycle, sector and jurisdiction configuration.</t>
  </si>
  <si>
    <t>QST-004</t>
  </si>
  <si>
    <t>Domain and subdomain</t>
  </si>
  <si>
    <t>Controlled hierarchy</t>
  </si>
  <si>
    <t>Supports domain scoring, ownership and reporting.</t>
  </si>
  <si>
    <t>QST-005</t>
  </si>
  <si>
    <t>Control objective</t>
  </si>
  <si>
    <t>Defines the assurance outcome the question tests.</t>
  </si>
  <si>
    <t>QST-006</t>
  </si>
  <si>
    <t>Question / control ID</t>
  </si>
  <si>
    <t>Stable identifier</t>
  </si>
  <si>
    <t>Maintains traceability across versions and projects.</t>
  </si>
  <si>
    <t>QST-007</t>
  </si>
  <si>
    <t>Question sequence</t>
  </si>
  <si>
    <t>Integer</t>
  </si>
  <si>
    <t>Controls display and exported order.</t>
  </si>
  <si>
    <t>QST-008</t>
  </si>
  <si>
    <t>Question text</t>
  </si>
  <si>
    <t>The test presented to the assessor/respondent.</t>
  </si>
  <si>
    <t>QST-009</t>
  </si>
  <si>
    <t>Guidance / interpretation</t>
  </si>
  <si>
    <t>Clarifies intent and acceptable evidence.</t>
  </si>
  <si>
    <t>QST-010</t>
  </si>
  <si>
    <t>Question status</t>
  </si>
  <si>
    <t>Draft / Active / Retired / Superseded</t>
  </si>
  <si>
    <t>Prevents use outside approved effective dates.</t>
  </si>
  <si>
    <t>QST-011</t>
  </si>
  <si>
    <t>Effective dates</t>
  </si>
  <si>
    <t>Date range</t>
  </si>
  <si>
    <t>Controls validity and reassessment.</t>
  </si>
  <si>
    <t>QST-012</t>
  </si>
  <si>
    <t>Question owner</t>
  </si>
  <si>
    <t>Role / framework administrator</t>
  </si>
  <si>
    <t>Establishes accountability for configuration.</t>
  </si>
  <si>
    <t>QST-013</t>
  </si>
  <si>
    <t>Source / reference basis</t>
  </si>
  <si>
    <t>Legislation / standard / policy / project source</t>
  </si>
  <si>
    <t>Provides the basis for the control.</t>
  </si>
  <si>
    <t>QST-014</t>
  </si>
  <si>
    <t>Organisation / project applicability</t>
  </si>
  <si>
    <t>Rules / predicates</t>
  </si>
  <si>
    <t>Determines mandatory, conditional, optional or not applicable.</t>
  </si>
  <si>
    <t>QST-015</t>
  </si>
  <si>
    <t>Sector / subsector applicability</t>
  </si>
  <si>
    <t>Rules / multi-select</t>
  </si>
  <si>
    <t>Activates retail, filling-station and other sector packs.</t>
  </si>
  <si>
    <t>QST-016</t>
  </si>
  <si>
    <t>Jurisdiction applicability</t>
  </si>
  <si>
    <t>Activates local legal and authority requirements.</t>
  </si>
  <si>
    <t>QST-017</t>
  </si>
  <si>
    <t>Lifecycle stage linkage</t>
  </si>
  <si>
    <t>S1-S21 / multi-select</t>
  </si>
  <si>
    <t>Maps the control to lifecycle assurance.</t>
  </si>
  <si>
    <t>QST-018</t>
  </si>
  <si>
    <t>Executive gate linkage</t>
  </si>
  <si>
    <t>Gate 0-Gate 10 / multi-select</t>
  </si>
  <si>
    <t>Identifies decisions affected by the result.</t>
  </si>
  <si>
    <t>QST-019</t>
  </si>
  <si>
    <t>Work-package linkage</t>
  </si>
  <si>
    <t>Maps the 3,700-question bank to full-cycle control points.</t>
  </si>
  <si>
    <t>QST-020</t>
  </si>
  <si>
    <t>Response type</t>
  </si>
  <si>
    <t>Yes/No/N/A / scale / numeric / date / text / multi-select</t>
  </si>
  <si>
    <t>Determines input validation.</t>
  </si>
  <si>
    <t>QST-021</t>
  </si>
  <si>
    <t>Scoring scale</t>
  </si>
  <si>
    <t>0-5 or configured</t>
  </si>
  <si>
    <t>Defines how response and evidence affect score.</t>
  </si>
  <si>
    <t>QST-022</t>
  </si>
  <si>
    <t>Question weight</t>
  </si>
  <si>
    <t>Decimal / percentage</t>
  </si>
  <si>
    <t>Supports transparent aggregation.</t>
  </si>
  <si>
    <t>QST-023</t>
  </si>
  <si>
    <t>Mandatory floor</t>
  </si>
  <si>
    <t>Minimum score</t>
  </si>
  <si>
    <t>Prevents a low critical control from being hidden by averages.</t>
  </si>
  <si>
    <t>QST-024</t>
  </si>
  <si>
    <t>Critical / fatal-flaw flag</t>
  </si>
  <si>
    <t>Yes / No</t>
  </si>
  <si>
    <t>Triggers hard-gate logic where applicable.</t>
  </si>
  <si>
    <t>QST-025</t>
  </si>
  <si>
    <t>Evidence types and minimum items</t>
  </si>
  <si>
    <t>Controlled list + number</t>
  </si>
  <si>
    <t>Defines evidence sufficiency.</t>
  </si>
  <si>
    <t>QST-026</t>
  </si>
  <si>
    <t>Evidence freshness rule</t>
  </si>
  <si>
    <t>Days / expiry / event-based</t>
  </si>
  <si>
    <t>Prevents use of stale evidence.</t>
  </si>
  <si>
    <t>QST-027</t>
  </si>
  <si>
    <t>Independence requirement</t>
  </si>
  <si>
    <t>Provider / reviewer separation rule</t>
  </si>
  <si>
    <t>Supports assurance independence.</t>
  </si>
  <si>
    <t>QST-028</t>
  </si>
  <si>
    <t>Decision meaning</t>
  </si>
  <si>
    <t>Proceed / Condition / Hold / Revise / Stop linkage</t>
  </si>
  <si>
    <t>Explains effect on gate recommendation.</t>
  </si>
  <si>
    <t>QST-029</t>
  </si>
  <si>
    <t>Reassessment trigger</t>
  </si>
  <si>
    <t>Expiry / material change / incident / stage / periodic</t>
  </si>
  <si>
    <t>Controls reopening and continuity monitoring.</t>
  </si>
  <si>
    <t>QST-030</t>
  </si>
  <si>
    <t>Supersession mapping</t>
  </si>
  <si>
    <t>Old ID / new ID / rationale</t>
  </si>
  <si>
    <t>Preserves lineage when questions change.</t>
  </si>
  <si>
    <t>11</t>
  </si>
  <si>
    <t>Assessment Instance, Response and Reviewer Record</t>
  </si>
  <si>
    <t>ASM-001</t>
  </si>
  <si>
    <t>Assessment ID</t>
  </si>
  <si>
    <t>Links all responses, evidence, findings, actions and opinions.</t>
  </si>
  <si>
    <t>ASM-002</t>
  </si>
  <si>
    <t>Assessment title and purpose</t>
  </si>
  <si>
    <t>Defines scope and intended decision use.</t>
  </si>
  <si>
    <t>ASM-003</t>
  </si>
  <si>
    <t>Assessment pack / framework version</t>
  </si>
  <si>
    <t>Linked configuration</t>
  </si>
  <si>
    <t>Reproduces the applicable catalogue.</t>
  </si>
  <si>
    <t>ASM-004</t>
  </si>
  <si>
    <t>Assessment scope</t>
  </si>
  <si>
    <t>Organisation / project / site / stage / gate / work package</t>
  </si>
  <si>
    <t>Prevents conclusions outside assessed scope.</t>
  </si>
  <si>
    <t>ASM-005</t>
  </si>
  <si>
    <t>Assessment period / as-of date</t>
  </si>
  <si>
    <t>Date range + timestamp</t>
  </si>
  <si>
    <t>Defines the point-in-time assurance position.</t>
  </si>
  <si>
    <t>ASM-006</t>
  </si>
  <si>
    <t>Applicability result</t>
  </si>
  <si>
    <t>Mandatory / Conditional / Optional / N/A</t>
  </si>
  <si>
    <t>Shows why the control is or is not tested.</t>
  </si>
  <si>
    <t>ASM-007</t>
  </si>
  <si>
    <t>Applicability rationale</t>
  </si>
  <si>
    <t>M for N/A/conditional</t>
  </si>
  <si>
    <t>Text + evidence</t>
  </si>
  <si>
    <t>Prevents unsupported exclusion.</t>
  </si>
  <si>
    <t>ASM-008</t>
  </si>
  <si>
    <t>Response</t>
  </si>
  <si>
    <t>Yes / No / N/A / configured value</t>
  </si>
  <si>
    <t>Captures the primary assessment answer.</t>
  </si>
  <si>
    <t>ASM-009</t>
  </si>
  <si>
    <t>Response value / units</t>
  </si>
  <si>
    <t>Numeric / date / text / selection</t>
  </si>
  <si>
    <t>Captures structured values beyond Yes/No/N/A.</t>
  </si>
  <si>
    <t>ASM-010</t>
  </si>
  <si>
    <t>Respondent / preparer</t>
  </si>
  <si>
    <t>Linked person and role</t>
  </si>
  <si>
    <t>Identifies who supplied the response.</t>
  </si>
  <si>
    <t>ASM-011</t>
  </si>
  <si>
    <t>Response date</t>
  </si>
  <si>
    <t>Supports freshness and audit.</t>
  </si>
  <si>
    <t>ASM-012</t>
  </si>
  <si>
    <t>Respondent rationale</t>
  </si>
  <si>
    <t>Explains how the answer is supported.</t>
  </si>
  <si>
    <t>ASM-013</t>
  </si>
  <si>
    <t>Evidence requested</t>
  </si>
  <si>
    <t>Linked request(s)</t>
  </si>
  <si>
    <t>Tracks missing or additional evidence.</t>
  </si>
  <si>
    <t>ASM-014</t>
  </si>
  <si>
    <t>Evidence submitted</t>
  </si>
  <si>
    <t>Linked evidence items</t>
  </si>
  <si>
    <t>Provides the basis for validation and scoring.</t>
  </si>
  <si>
    <t>ASM-015</t>
  </si>
  <si>
    <t>Evidence coverage percentage</t>
  </si>
  <si>
    <t>Measures submitted items against the minimum evidence rule.</t>
  </si>
  <si>
    <t>ASM-016</t>
  </si>
  <si>
    <t>Evidence quality score</t>
  </si>
  <si>
    <t>0-5</t>
  </si>
  <si>
    <t>Reflects completeness, currency, signatures, authority and traceability.</t>
  </si>
  <si>
    <t>ASM-017</t>
  </si>
  <si>
    <t>Assessor</t>
  </si>
  <si>
    <t>Records the independent assessment performer.</t>
  </si>
  <si>
    <t>ASM-018</t>
  </si>
  <si>
    <t>Assessment date</t>
  </si>
  <si>
    <t>Establishes when evidence was reviewed.</t>
  </si>
  <si>
    <t>ASM-019</t>
  </si>
  <si>
    <t>Assessor score</t>
  </si>
  <si>
    <t>Records the accepted control score.</t>
  </si>
  <si>
    <t>ASM-020</t>
  </si>
  <si>
    <t>Assessor RAG</t>
  </si>
  <si>
    <t>Red / Amber / Green</t>
  </si>
  <si>
    <t>Provides risk/readiness status.</t>
  </si>
  <si>
    <t>ASM-021</t>
  </si>
  <si>
    <t>Assessor rationale</t>
  </si>
  <si>
    <t>Explains score, rating and evidence limitations.</t>
  </si>
  <si>
    <t>ASM-022</t>
  </si>
  <si>
    <t>Assessor confidence</t>
  </si>
  <si>
    <t>High / Medium / Low / percentage</t>
  </si>
  <si>
    <t>Discloses reliability of the conclusion.</t>
  </si>
  <si>
    <t>ASM-023</t>
  </si>
  <si>
    <t>Finding raised</t>
  </si>
  <si>
    <t>Yes / No + linked finding</t>
  </si>
  <si>
    <t>Ensures weaknesses are not hidden in comments.</t>
  </si>
  <si>
    <t>ASM-024</t>
  </si>
  <si>
    <t>Clarification status</t>
  </si>
  <si>
    <t>Not Required / Requested / Received / Accepted / Rejected</t>
  </si>
  <si>
    <t>Controls unresolved queries.</t>
  </si>
  <si>
    <t>ASM-025</t>
  </si>
  <si>
    <t>Independent reviewer</t>
  </si>
  <si>
    <t>Required according to criticality and segregation rules.</t>
  </si>
  <si>
    <t>ASM-026</t>
  </si>
  <si>
    <t>Reviewer decision</t>
  </si>
  <si>
    <t>Agree / Amend / Return / Reject</t>
  </si>
  <si>
    <t>Records independent challenge.</t>
  </si>
  <si>
    <t>ASM-027</t>
  </si>
  <si>
    <t>Reviewer comments</t>
  </si>
  <si>
    <t>Explains review outcome and changes.</t>
  </si>
  <si>
    <t>ASM-028</t>
  </si>
  <si>
    <t>Approver / final authority</t>
  </si>
  <si>
    <t>M for issued opinion</t>
  </si>
  <si>
    <t>Linked person / body</t>
  </si>
  <si>
    <t>Identifies who authorises use of the result.</t>
  </si>
  <si>
    <t>ASM-029</t>
  </si>
  <si>
    <t>Approval decision and date</t>
  </si>
  <si>
    <t>Decision + date-time</t>
  </si>
  <si>
    <t>Controls finalisation and gate use.</t>
  </si>
  <si>
    <t>ASM-030</t>
  </si>
  <si>
    <t>Assessment workflow state</t>
  </si>
  <si>
    <t>Draft / Evidence Requested / Submitted / Under Assessment / Clarification / Reviewed / Conditionally Accepted / Accepted / Rejected / Reopened / Superseded</t>
  </si>
  <si>
    <t>Supports controlled progression and reopening.</t>
  </si>
  <si>
    <t>ASM-031</t>
  </si>
  <si>
    <t>Validity end date</t>
  </si>
  <si>
    <t>Date / rule</t>
  </si>
  <si>
    <t>Prevents reliance after expiry or material change.</t>
  </si>
  <si>
    <t>ASM-032</t>
  </si>
  <si>
    <t>Reopening reason</t>
  </si>
  <si>
    <t>Material change / evidence withdrawal / incident / expiry / fraud indicator</t>
  </si>
  <si>
    <t>Preserves why a closed assessment became active again.</t>
  </si>
  <si>
    <t>ASM-033</t>
  </si>
  <si>
    <t>Audit snapshot reference</t>
  </si>
  <si>
    <t>Immutable snapshot ID</t>
  </si>
  <si>
    <t>Reproduces the exact source data used for the opinion.</t>
  </si>
  <si>
    <t>12</t>
  </si>
  <si>
    <t>Evidence and Document-Control Register</t>
  </si>
  <si>
    <t>EVD-001</t>
  </si>
  <si>
    <t>Evidence ID</t>
  </si>
  <si>
    <t>Provides stable evidence traceability.</t>
  </si>
  <si>
    <t>EVD-002</t>
  </si>
  <si>
    <t>Evidence title</t>
  </si>
  <si>
    <t>Identifies the document, dataset, certificate, photo, test or record.</t>
  </si>
  <si>
    <t>EVD-003</t>
  </si>
  <si>
    <t>Evidence type</t>
  </si>
  <si>
    <t>Drives validation, retention and minimum-item rules.</t>
  </si>
  <si>
    <t>EVD-004</t>
  </si>
  <si>
    <t>Document / reference number</t>
  </si>
  <si>
    <t>Supports external and internal traceability.</t>
  </si>
  <si>
    <t>EVD-005</t>
  </si>
  <si>
    <t>Version / revision</t>
  </si>
  <si>
    <t>Prevents superseded evidence from active use.</t>
  </si>
  <si>
    <t>EVD-006</t>
  </si>
  <si>
    <t>Issue / execution date</t>
  </si>
  <si>
    <t>Date</t>
  </si>
  <si>
    <t>Supports currency and sequence validation.</t>
  </si>
  <si>
    <t>EVD-007</t>
  </si>
  <si>
    <t>Expiry / review date</t>
  </si>
  <si>
    <t>Date / null</t>
  </si>
  <si>
    <t>Triggers alerts and reassessment.</t>
  </si>
  <si>
    <t>EVD-008</t>
  </si>
  <si>
    <t>Issuing organisation / authority</t>
  </si>
  <si>
    <t>Linked party</t>
  </si>
  <si>
    <t>Establishes source authority.</t>
  </si>
  <si>
    <t>EVD-009</t>
  </si>
  <si>
    <t>Prepared by</t>
  </si>
  <si>
    <t>Linked person / professional</t>
  </si>
  <si>
    <t>Identifies origin and competence.</t>
  </si>
  <si>
    <t>EVD-010</t>
  </si>
  <si>
    <t>Signed / stamped / certified status</t>
  </si>
  <si>
    <t>Yes / No / Not Required</t>
  </si>
  <si>
    <t>Tests formal validity.</t>
  </si>
  <si>
    <t>EVD-011</t>
  </si>
  <si>
    <t>Signature / approval details</t>
  </si>
  <si>
    <t>Person, role, date, method</t>
  </si>
  <si>
    <t>Provides execution traceability.</t>
  </si>
  <si>
    <t>EVD-012</t>
  </si>
  <si>
    <t>Evidence provider</t>
  </si>
  <si>
    <t>Linked person / organisation</t>
  </si>
  <si>
    <t>Tracks who submitted the evidence.</t>
  </si>
  <si>
    <t>EVD-013</t>
  </si>
  <si>
    <t>Evidence owner / custodian</t>
  </si>
  <si>
    <t>Assigns maintenance and expiry responsibility.</t>
  </si>
  <si>
    <t>EVD-014</t>
  </si>
  <si>
    <t>File name and controlled location</t>
  </si>
  <si>
    <t>URI / repository path</t>
  </si>
  <si>
    <t>Allows retrieval from the evidence register/data room.</t>
  </si>
  <si>
    <t>EVD-015</t>
  </si>
  <si>
    <t>File format and size</t>
  </si>
  <si>
    <t>Metadata</t>
  </si>
  <si>
    <t>Supports integrity and transfer controls.</t>
  </si>
  <si>
    <t>EVD-016</t>
  </si>
  <si>
    <t>Hash / digital fingerprint</t>
  </si>
  <si>
    <t>Hash value</t>
  </si>
  <si>
    <t>Detects alteration and supports chain of custody.</t>
  </si>
  <si>
    <t>EVD-017</t>
  </si>
  <si>
    <t>Classification and access group</t>
  </si>
  <si>
    <t>Controlled security fields</t>
  </si>
  <si>
    <t>Restricts sensitive evidence.</t>
  </si>
  <si>
    <t>EVD-018</t>
  </si>
  <si>
    <t>Primary / secondary evidence flag</t>
  </si>
  <si>
    <t>Primary / Corroborating / Assertion</t>
  </si>
  <si>
    <t>Distinguishes authoritative proof from supporting information.</t>
  </si>
  <si>
    <t>EVD-019</t>
  </si>
  <si>
    <t>Linked object(s)</t>
  </si>
  <si>
    <t>Project / question / risk / contract / asset / payment / indicator</t>
  </si>
  <si>
    <t>Prevents orphaned evidence.</t>
  </si>
  <si>
    <t>EVD-020</t>
  </si>
  <si>
    <t>Required evidence rule</t>
  </si>
  <si>
    <t>Linked rule ID</t>
  </si>
  <si>
    <t>Shows which requirement the item satisfies.</t>
  </si>
  <si>
    <t>EVD-021</t>
  </si>
  <si>
    <t>Completeness status</t>
  </si>
  <si>
    <t>Complete / Partial / Missing pages / Missing annexures</t>
  </si>
  <si>
    <t>Feeds quality score.</t>
  </si>
  <si>
    <t>EVD-022</t>
  </si>
  <si>
    <t>Currency / freshness status</t>
  </si>
  <si>
    <t>Current / Expiring / Expired / Superseded</t>
  </si>
  <si>
    <t>Prevents stale evidence use.</t>
  </si>
  <si>
    <t>EVD-023</t>
  </si>
  <si>
    <t>Authenticity / integrity status</t>
  </si>
  <si>
    <t>Verified / Pending / Exception</t>
  </si>
  <si>
    <t>Supports evidence confidence.</t>
  </si>
  <si>
    <t>EVD-024</t>
  </si>
  <si>
    <t>Authority / competence status</t>
  </si>
  <si>
    <t>Acceptable / Unconfirmed / Inadequate</t>
  </si>
  <si>
    <t>Tests whether the issuer is qualified or authorised.</t>
  </si>
  <si>
    <t>EVD-025</t>
  </si>
  <si>
    <t>Traceability status</t>
  </si>
  <si>
    <t>Traceable / Partial / Not Traceable</t>
  </si>
  <si>
    <t>Feeds RAG and gate eligibility.</t>
  </si>
  <si>
    <t>EVD-026</t>
  </si>
  <si>
    <t>Reviewer status</t>
  </si>
  <si>
    <t>Pending / Accepted / Rejected / Conditional</t>
  </si>
  <si>
    <t>Controls whether evidence can influence assurance.</t>
  </si>
  <si>
    <t>EVD-027</t>
  </si>
  <si>
    <t>Rejection / limitation reason</t>
  </si>
  <si>
    <t>Explains why evidence is not accepted.</t>
  </si>
  <si>
    <t>EVD-028</t>
  </si>
  <si>
    <t>Data-extraction / key facts</t>
  </si>
  <si>
    <t>Structured fields + source locations</t>
  </si>
  <si>
    <t>Links material facts to pages, clauses or data rows.</t>
  </si>
  <si>
    <t>EVD-029</t>
  </si>
  <si>
    <t>Chain-of-custody / legal-hold status</t>
  </si>
  <si>
    <t>Structured log</t>
  </si>
  <si>
    <t>Required for forensic, dispute or sensitive evidence.</t>
  </si>
  <si>
    <t>EVD-030</t>
  </si>
  <si>
    <t>Evidence request due date</t>
  </si>
  <si>
    <t>Drives escalation for missing proof.</t>
  </si>
  <si>
    <t>MFA-001</t>
  </si>
  <si>
    <t>File-ingestion record ID</t>
  </si>
  <si>
    <t>Creates a traceable upload and processing record linked to the evidence object.</t>
  </si>
  <si>
    <t>MFA-002</t>
  </si>
  <si>
    <t>Linked evidence ID</t>
  </si>
  <si>
    <t>Linked EVD-001</t>
  </si>
  <si>
    <t>Connects every uploaded file, derivative and analysis result to the controlled evidence register.</t>
  </si>
  <si>
    <t>MFA-003</t>
  </si>
  <si>
    <t>Upload batch / submission ID</t>
  </si>
  <si>
    <t>Groups multi-file, folder, archive, mobile inspection or data-room submissions.</t>
  </si>
  <si>
    <t>MFA-004</t>
  </si>
  <si>
    <t>Upload / ingestion channel</t>
  </si>
  <si>
    <t>Web / mobile / camera / drag-drop / API / email / import / integration</t>
  </si>
  <si>
    <t>Supports controlled uploads from field and office workflows.</t>
  </si>
  <si>
    <t>MFA-005</t>
  </si>
  <si>
    <t>Original client filename</t>
  </si>
  <si>
    <t>Preserves the filename received from the source while the platform assigns a controlled storage ID.</t>
  </si>
  <si>
    <t>MFA-006</t>
  </si>
  <si>
    <t>Declared MIME type</t>
  </si>
  <si>
    <t>MIME string</t>
  </si>
  <si>
    <t>Records the type declared by the client or source application.</t>
  </si>
  <si>
    <t>MFA-007</t>
  </si>
  <si>
    <t>Detected MIME type and magic signature</t>
  </si>
  <si>
    <t>Detected type + signature</t>
  </si>
  <si>
    <t>Detects extension spoofing and determines the correct safe parser.</t>
  </si>
  <si>
    <t>MFA-008</t>
  </si>
  <si>
    <t>File extension and format family</t>
  </si>
  <si>
    <t>Extension + controlled family</t>
  </si>
  <si>
    <t>Classifies image, PDF, spreadsheet, document, archive, media, CAD/BIM, GIS, structured data or other format.</t>
  </si>
  <si>
    <t>MFA-009</t>
  </si>
  <si>
    <t>Original file size</t>
  </si>
  <si>
    <t>Bytes</t>
  </si>
  <si>
    <t>Supports limits, capacity planning, transfer validation and integrity checks.</t>
  </si>
  <si>
    <t>MFA-010</t>
  </si>
  <si>
    <t>Hash reconciliation result</t>
  </si>
  <si>
    <t>Match / Mismatch / Pending</t>
  </si>
  <si>
    <t>Confirms the ingested binary matches the immutable evidence fingerprint.</t>
  </si>
  <si>
    <t>MFA-011</t>
  </si>
  <si>
    <t>Upload initiated and completed timestamps</t>
  </si>
  <si>
    <t>Date-time pair</t>
  </si>
  <si>
    <t>Measures transfer duration and establishes chain-of-custody timing.</t>
  </si>
  <si>
    <t>MFA-012</t>
  </si>
  <si>
    <t>Uploader identity and role</t>
  </si>
  <si>
    <t>Linked user / service account</t>
  </si>
  <si>
    <t>Provides accountability for every upload or automated ingestion.</t>
  </si>
  <si>
    <t>MFA-013</t>
  </si>
  <si>
    <t>Source device or source system</t>
  </si>
  <si>
    <t>Device / application / integration ID</t>
  </si>
  <si>
    <t>Identifies camera, mobile device, scanner, email, document system or external platform.</t>
  </si>
  <si>
    <t>MFA-014</t>
  </si>
  <si>
    <t>Chunked / resumable upload state</t>
  </si>
  <si>
    <t>Not required / In progress / Resumed / Complete / Failed</t>
  </si>
  <si>
    <t>Allows reliable large-file and poor-connectivity uploads without duplicate evidence.</t>
  </si>
  <si>
    <t>MFA-015</t>
  </si>
  <si>
    <t>Transfer validation result</t>
  </si>
  <si>
    <t>Passed / Failed / Exception</t>
  </si>
  <si>
    <t>Tests byte count, checksum, completeness and upload-session integrity.</t>
  </si>
  <si>
    <t>MFA-016</t>
  </si>
  <si>
    <t>Quarantine status</t>
  </si>
  <si>
    <t>Not required / Quarantined / Released / Rejected</t>
  </si>
  <si>
    <t>Prevents unsafe or unverified files from entering active evidence workflows.</t>
  </si>
  <si>
    <t>MFA-017</t>
  </si>
  <si>
    <t>Malware scan engine, version and result</t>
  </si>
  <si>
    <t>Structured scan record</t>
  </si>
  <si>
    <t>Records antivirus/sandbox controls and prohibits unsafe file execution.</t>
  </si>
  <si>
    <t>MFA-018</t>
  </si>
  <si>
    <t>Macro, script and active-content status</t>
  </si>
  <si>
    <t>None / Present / Disabled / Sandboxed / Prohibited</t>
  </si>
  <si>
    <t>Controls XLSM, DOCM, PDF JavaScript, embedded objects and other active content.</t>
  </si>
  <si>
    <t>MFA-019</t>
  </si>
  <si>
    <t>Archive/container inventory and extraction status</t>
  </si>
  <si>
    <t>Recursively inventories and scans ZIP, 7Z, RAR, TAR, GZ and other configured containers.</t>
  </si>
  <si>
    <t>MFA-020</t>
  </si>
  <si>
    <t>Password / encryption status</t>
  </si>
  <si>
    <t>None / Password protected / Encrypted / Decrypted by authority / Unavailable</t>
  </si>
  <si>
    <t>Ensures protected files are not falsely treated as analysed.</t>
  </si>
  <si>
    <t>MFA-021</t>
  </si>
  <si>
    <t>Digital signature and certificate validation</t>
  </si>
  <si>
    <t>Valid / Invalid / Expired / Revoked / Not present / Pending</t>
  </si>
  <si>
    <t>Tests electronic signatures, certificate chains and signed PDF or office evidence.</t>
  </si>
  <si>
    <t>MFA-022</t>
  </si>
  <si>
    <t>File damage / corruption status</t>
  </si>
  <si>
    <t>Readable / Partially readable / Corrupt / Repair attempted</t>
  </si>
  <si>
    <t>Prevents incomplete parsing from producing misleading assurance results.</t>
  </si>
  <si>
    <t>MFA-023</t>
  </si>
  <si>
    <t>Duplicate and near-duplicate match</t>
  </si>
  <si>
    <t>None / Exact / Near duplicate + linked IDs</t>
  </si>
  <si>
    <t>Detects repeated submissions, altered copies and evidence reuse.</t>
  </si>
  <si>
    <t>MFA-024</t>
  </si>
  <si>
    <t>Immutable original storage version</t>
  </si>
  <si>
    <t>Object/version URI</t>
  </si>
  <si>
    <t>Preserves the original binary and prohibits analysis processes from overwriting it.</t>
  </si>
  <si>
    <t>MFA-025</t>
  </si>
  <si>
    <t>Controlled derivative / rendition IDs</t>
  </si>
  <si>
    <t>Linked list</t>
  </si>
  <si>
    <t>Links thumbnails, page images, extracted text, redacted copies and converted views to the original.</t>
  </si>
  <si>
    <t>MFA-026</t>
  </si>
  <si>
    <t>Preview / thumbnail generation status</t>
  </si>
  <si>
    <t>Pending / Complete / Failed / Restricted</t>
  </si>
  <si>
    <t>Provides safe browser and mobile review without requiring local software.</t>
  </si>
  <si>
    <t>MFA-027</t>
  </si>
  <si>
    <t>Parser / analysis adapter ID and version</t>
  </si>
  <si>
    <t>Controlled component reference</t>
  </si>
  <si>
    <t>Makes file analysis reproducible and supports an extensible file-format adapter registry.</t>
  </si>
  <si>
    <t>MFA-028</t>
  </si>
  <si>
    <t>Analysis job ID</t>
  </si>
  <si>
    <t>Linked processing job</t>
  </si>
  <si>
    <t>Provides one audit reference for each extraction, OCR, media or model-analysis run.</t>
  </si>
  <si>
    <t>MFA-029</t>
  </si>
  <si>
    <t>Analysis processing status</t>
  </si>
  <si>
    <t>Queued / Processing / Complete / Partial / Failed / Unsupported</t>
  </si>
  <si>
    <t>Prevents unsupported or incomplete files from being represented as successfully analysed.</t>
  </si>
  <si>
    <t>MFA-030</t>
  </si>
  <si>
    <t>Processing start, end and duration</t>
  </si>
  <si>
    <t>Date-times + duration</t>
  </si>
  <si>
    <t>Supports operational monitoring, performance and incident investigation.</t>
  </si>
  <si>
    <t>MFA-031</t>
  </si>
  <si>
    <t>Analysis method</t>
  </si>
  <si>
    <t>Native parser / OCR / computer vision / transcription / model reader / manual</t>
  </si>
  <si>
    <t>Discloses how information was extracted and the limitations of the method.</t>
  </si>
  <si>
    <t>MFA-032</t>
  </si>
  <si>
    <t>Page, sheet, slide, frame or item count</t>
  </si>
  <si>
    <t>Integer + unit</t>
  </si>
  <si>
    <t>Tests content completeness and supports source-location referencing.</t>
  </si>
  <si>
    <t>MFA-033</t>
  </si>
  <si>
    <t>Extracted-text repository reference</t>
  </si>
  <si>
    <t>URI / content object ID</t>
  </si>
  <si>
    <t>Stores searchable text separately while retaining exact linkage to the original file.</t>
  </si>
  <si>
    <t>MFA-034</t>
  </si>
  <si>
    <t>OCR language, engine and confidence</t>
  </si>
  <si>
    <t>Language + engine/version + percentage</t>
  </si>
  <si>
    <t>Controls analysis of scanned PDFs, images, forms, drawings and photographs containing text.</t>
  </si>
  <si>
    <t>MFA-035</t>
  </si>
  <si>
    <t>Table, form and key-value extraction result</t>
  </si>
  <si>
    <t>Structured extraction + confidence</t>
  </si>
  <si>
    <t>Captures tables, schedules, certificates, forms and field/value pairs for validation.</t>
  </si>
  <si>
    <t>MFA-036</t>
  </si>
  <si>
    <t>Spreadsheet profile and analysis result</t>
  </si>
  <si>
    <t>Workbook/sheets/formulas/links/macros/hidden content</t>
  </si>
  <si>
    <t>Analyses Excel and compatible files for values, formulas, external links, named ranges, hidden rows, charts and anomalies.</t>
  </si>
  <si>
    <t>MFA-037</t>
  </si>
  <si>
    <t>Structured-data schema and profile result</t>
  </si>
  <si>
    <t>Schema, row count, types, nulls, duplicates, statistics</t>
  </si>
  <si>
    <t>Profiles CSV, JSON, XML, YAML, Parquet, database extracts and configured data formats.</t>
  </si>
  <si>
    <t>MFA-038</t>
  </si>
  <si>
    <t>PDF structure and security profile</t>
  </si>
  <si>
    <t>Native/scanned, pages, layers, attachments, forms, signatures, permissions</t>
  </si>
  <si>
    <t>Determines whether the PDF is searchable, scanned, signed, layered or contains embedded evidence.</t>
  </si>
  <si>
    <t>MFA-039</t>
  </si>
  <si>
    <t>Office-document revision and metadata profile</t>
  </si>
  <si>
    <t>Authors, revisions, comments, tracked changes, embedded objects</t>
  </si>
  <si>
    <t>Analyses Word, presentation and compatible office files without silently accepting hidden or unresolved content.</t>
  </si>
  <si>
    <t>MFA-040</t>
  </si>
  <si>
    <t>Image / photo EXIF and capture metadata</t>
  </si>
  <si>
    <t>Camera, date/time, orientation, dimensions, exposure and available EXIF</t>
  </si>
  <si>
    <t>Supports field-photo provenance and image-quality review.</t>
  </si>
  <si>
    <t>MFA-041</t>
  </si>
  <si>
    <t>Photo geolocation and privacy authorisation</t>
  </si>
  <si>
    <t>Coordinates + accuracy + consent/authority</t>
  </si>
  <si>
    <t>Uses GPS/location only where authorised and protects sensitive personal or site information.</t>
  </si>
  <si>
    <t>MFA-042</t>
  </si>
  <si>
    <t>Image quality and readability assessment</t>
  </si>
  <si>
    <t>Resolution / blur / glare / obstruction / score</t>
  </si>
  <si>
    <t>Identifies photographs or scans that are insufficient for assurance review.</t>
  </si>
  <si>
    <t>MFA-043</t>
  </si>
  <si>
    <t>Visual findings and annotations</t>
  </si>
  <si>
    <t>Objects/conditions + bounding region + reviewer notes</t>
  </si>
  <si>
    <t>Supports photo evidence of site conditions, progress, defects, signage, assets and environmental observations.</t>
  </si>
  <si>
    <t>MFA-044</t>
  </si>
  <si>
    <t>Audio transcription and speaker result</t>
  </si>
  <si>
    <t>Transcript + timecodes + confidence</t>
  </si>
  <si>
    <t>Analyses authorised audio records while preserving the original recording.</t>
  </si>
  <si>
    <t>MFA-045</t>
  </si>
  <si>
    <t>Video keyframe, transcript and timecode result</t>
  </si>
  <si>
    <t>Keyframes + transcript + event timecodes</t>
  </si>
  <si>
    <t>Supports progress, inspection, incident and commissioning video evidence.</t>
  </si>
  <si>
    <t>MFA-046</t>
  </si>
  <si>
    <t>CAD / BIM model and drawing profile</t>
  </si>
  <si>
    <t>Format/version/sheets/layers/models/revisions/quantities</t>
  </si>
  <si>
    <t>Extracts available drawing/model metadata and controlled quantities through approved engineering adapters.</t>
  </si>
  <si>
    <t>MFA-047</t>
  </si>
  <si>
    <t>GIS / geospatial profile</t>
  </si>
  <si>
    <t>CRS, layers, geometry, extent, coordinates, topology</t>
  </si>
  <si>
    <t>Analyses SHP, GPKG, KML/KMZ, GeoJSON, GeoTIFF and configured geospatial evidence.</t>
  </si>
  <si>
    <t>MFA-048</t>
  </si>
  <si>
    <t>Extracted entities, dates, amounts and references</t>
  </si>
  <si>
    <t>Structured entity list + confidence</t>
  </si>
  <si>
    <t>Identifies organisations, people, permits, contract numbers, dates, currencies and technical references.</t>
  </si>
  <si>
    <t>MFA-049</t>
  </si>
  <si>
    <t>Extracted measurements, quantities and units</t>
  </si>
  <si>
    <t>Value + unit + source location</t>
  </si>
  <si>
    <t>Supports comparison of BOQs, certificates, drawings, schedules, invoices and test results.</t>
  </si>
  <si>
    <t>MFA-050</t>
  </si>
  <si>
    <t>Source-location anchors</t>
  </si>
  <si>
    <t>Page / clause / cell / sheet / timecode / coordinate</t>
  </si>
  <si>
    <t>Allows every accepted extracted fact to be traced to its exact location in the source.</t>
  </si>
  <si>
    <t>MFA-051</t>
  </si>
  <si>
    <t>Cross-file consistency / contradiction result</t>
  </si>
  <si>
    <t>Match / Difference / Conflict + linked evidence</t>
  </si>
  <si>
    <t>Detects inconsistent dates, amounts, versions, names, quantities or approvals across evidence.</t>
  </si>
  <si>
    <t>MFA-052</t>
  </si>
  <si>
    <t>Question, control and evidence-rule mapping recommendation</t>
  </si>
  <si>
    <t>Linked IDs + rationale + confidence</t>
  </si>
  <si>
    <t>Suggests relevant OPBOH questions but does not automatically approve evidence or determine a gate.</t>
  </si>
  <si>
    <t>MFA-053</t>
  </si>
  <si>
    <t>Missing-content detection</t>
  </si>
  <si>
    <t>Missing pages/sheets/annexures/attachments/frames</t>
  </si>
  <si>
    <t>Flags incomplete submissions before scoring or gate review.</t>
  </si>
  <si>
    <t>MFA-054</t>
  </si>
  <si>
    <t>Authenticity, tamper and anomaly findings</t>
  </si>
  <si>
    <t>Structured findings + severity</t>
  </si>
  <si>
    <t>Records metadata anomalies, editing indicators, inconsistent signatures or suspicious transformations.</t>
  </si>
  <si>
    <t>MFA-055</t>
  </si>
  <si>
    <t>Sensitive-data / PII detection status</t>
  </si>
  <si>
    <t>None / Detected / Review required + categories</t>
  </si>
  <si>
    <t>Supports privacy, confidentiality and restricted-access decisions.</t>
  </si>
  <si>
    <t>MFA-056</t>
  </si>
  <si>
    <t>Redaction / anonymisation derivative link</t>
  </si>
  <si>
    <t>Linked rendition + approval</t>
  </si>
  <si>
    <t>Provides a controlled shareable copy while preserving the restricted original.</t>
  </si>
  <si>
    <t>MFA-057</t>
  </si>
  <si>
    <t>Automated-analysis confidence</t>
  </si>
  <si>
    <t>Percentage / band by result</t>
  </si>
  <si>
    <t>Makes uncertainty visible and prevents low-confidence extraction from being treated as verified fact.</t>
  </si>
  <si>
    <t>MFA-058</t>
  </si>
  <si>
    <t>Analysis limitations, errors and unsupported content</t>
  </si>
  <si>
    <t>Structured text / error codes</t>
  </si>
  <si>
    <t>Discloses inaccessible, encrypted, unsupported, partially parsed or ambiguous content.</t>
  </si>
  <si>
    <t>MFA-059</t>
  </si>
  <si>
    <t>Human validation status, assessor and date</t>
  </si>
  <si>
    <t>Pending / Accepted / Rejected / Conditional + person/date</t>
  </si>
  <si>
    <t>Requires authorised review before extracted content influences assurance.</t>
  </si>
  <si>
    <t>MFA-060</t>
  </si>
  <si>
    <t>Accepted extracted facts and approval state</t>
  </si>
  <si>
    <t>Structured facts + approval</t>
  </si>
  <si>
    <t>Separates machine-extracted suggestions from approved project master data.</t>
  </si>
  <si>
    <t>MFA-061</t>
  </si>
  <si>
    <t>Linked findings, risks, issues and actions</t>
  </si>
  <si>
    <t>Linked record IDs</t>
  </si>
  <si>
    <t>Converts analysis exceptions or evidence gaps into controlled remediation.</t>
  </si>
  <si>
    <t>MFA-062</t>
  </si>
  <si>
    <t>Analysis audit trail and component lineage</t>
  </si>
  <si>
    <t>Immutable event log</t>
  </si>
  <si>
    <t>Records parser/model versions, prompts/rules where applicable, inputs, outputs, overrides and reviewers.</t>
  </si>
  <si>
    <t>MFA-063</t>
  </si>
  <si>
    <t>Unsupported or proprietary format disposition</t>
  </si>
  <si>
    <t>Store only / Request conversion / External specialist / Reject by policy</t>
  </si>
  <si>
    <t>Allows universal secure ingestion while clearly controlling formats that cannot yet be reliably analysed.</t>
  </si>
  <si>
    <t>MFA-064</t>
  </si>
  <si>
    <t>Re-analysis and reprocessing trigger</t>
  </si>
  <si>
    <t>Reason / date / status / superseded result</t>
  </si>
  <si>
    <t>Re-runs analysis after new adapter versions, evidence replacement, corruption repair or material review findings.</t>
  </si>
  <si>
    <t>13</t>
  </si>
  <si>
    <t>Scoring, RAG, Readiness and Assurance Opinion</t>
  </si>
  <si>
    <t>SCR-001</t>
  </si>
  <si>
    <t>Raw question score</t>
  </si>
  <si>
    <t>Uses the approved evidence-reliability scoring scale.</t>
  </si>
  <si>
    <t>SCR-002</t>
  </si>
  <si>
    <t>Weighted question score</t>
  </si>
  <si>
    <t>Calculated decimal</t>
  </si>
  <si>
    <t>Applies the approved question weight transparently.</t>
  </si>
  <si>
    <t>SCR-003</t>
  </si>
  <si>
    <t>Mandatory-floor result</t>
  </si>
  <si>
    <t>Pass / Fail / Not Applicable</t>
  </si>
  <si>
    <t>Prevents averages concealing weak mandatory controls.</t>
  </si>
  <si>
    <t>SCR-004</t>
  </si>
  <si>
    <t>Critical-control result</t>
  </si>
  <si>
    <t>Pass / Fail / Unresolved</t>
  </si>
  <si>
    <t>Triggers hard-gate restrictions.</t>
  </si>
  <si>
    <t>SCR-005</t>
  </si>
  <si>
    <t>Fatal-flaw result</t>
  </si>
  <si>
    <t>None / Potential / Confirmed</t>
  </si>
  <si>
    <t>Determines whether irreversible progression must stop.</t>
  </si>
  <si>
    <t>SCR-006</t>
  </si>
  <si>
    <t>Evidence sufficiency percentage</t>
  </si>
  <si>
    <t>0-100%</t>
  </si>
  <si>
    <t>Measures accepted evidence against required evidence.</t>
  </si>
  <si>
    <t>SCR-007</t>
  </si>
  <si>
    <t>Domain completeness percentage</t>
  </si>
  <si>
    <t>Measures completion of mandatory applicable controls.</t>
  </si>
  <si>
    <t>SCR-008</t>
  </si>
  <si>
    <t>Domain score</t>
  </si>
  <si>
    <t>0-100 calculated</t>
  </si>
  <si>
    <t>Aggregates valid weighted scores within a domain.</t>
  </si>
  <si>
    <t>SCR-009</t>
  </si>
  <si>
    <t>Domain RAG</t>
  </si>
  <si>
    <t>Communicates readiness or exposure.</t>
  </si>
  <si>
    <t>SCR-010</t>
  </si>
  <si>
    <t>Domain assurance status</t>
  </si>
  <si>
    <t>Assured / Conditionally Assured / Not Assured / Unable to Conclude</t>
  </si>
  <si>
    <t>States the assurance conclusion.</t>
  </si>
  <si>
    <t>SCR-011</t>
  </si>
  <si>
    <t>Overall completeness percentage</t>
  </si>
  <si>
    <t>Portfolio and gate reporting metric.</t>
  </si>
  <si>
    <t>SCR-012</t>
  </si>
  <si>
    <t>Overall evidence sufficiency</t>
  </si>
  <si>
    <t>Discloses reliability of the overall result.</t>
  </si>
  <si>
    <t>SCR-013</t>
  </si>
  <si>
    <t>Overall weighted score</t>
  </si>
  <si>
    <t>0-100</t>
  </si>
  <si>
    <t>Provides transparent but non-determinative summary.</t>
  </si>
  <si>
    <t>SCR-014</t>
  </si>
  <si>
    <t>Critical failures count</t>
  </si>
  <si>
    <t>Prevents strong areas masking material failures.</t>
  </si>
  <si>
    <t>SCR-015</t>
  </si>
  <si>
    <t>Overdue conditions count</t>
  </si>
  <si>
    <t>Shows unresolved progression obligations.</t>
  </si>
  <si>
    <t>SCR-016</t>
  </si>
  <si>
    <t>Residual risk rating</t>
  </si>
  <si>
    <t>Scale / RAG</t>
  </si>
  <si>
    <t>Shows exposure after controls and conditions.</t>
  </si>
  <si>
    <t>SCR-017</t>
  </si>
  <si>
    <t>Assurance confidence</t>
  </si>
  <si>
    <t>Discloses uncertainty and data limitations.</t>
  </si>
  <si>
    <t>SCR-018</t>
  </si>
  <si>
    <t>Assurance scope statement</t>
  </si>
  <si>
    <t>Defines what the opinion covers.</t>
  </si>
  <si>
    <t>SCR-019</t>
  </si>
  <si>
    <t>Assurance limitations / exclusions</t>
  </si>
  <si>
    <t>Discloses data gaps and boundaries.</t>
  </si>
  <si>
    <t>SCR-020</t>
  </si>
  <si>
    <t>Verified facts summary</t>
  </si>
  <si>
    <t>Long text / generated from accepted data</t>
  </si>
  <si>
    <t>Separates accepted facts from assertions.</t>
  </si>
  <si>
    <t>SCR-021</t>
  </si>
  <si>
    <t>Unverified assertions summary</t>
  </si>
  <si>
    <t>Prevents assumptions being treated as evidence.</t>
  </si>
  <si>
    <t>SCR-022</t>
  </si>
  <si>
    <t>Missing critical evidence summary</t>
  </si>
  <si>
    <t>Linked items</t>
  </si>
  <si>
    <t>Explains gate constraints.</t>
  </si>
  <si>
    <t>SCR-023</t>
  </si>
  <si>
    <t>Residual conditions summary</t>
  </si>
  <si>
    <t>Linked conditions</t>
  </si>
  <si>
    <t>Lists permitted non-critical conditions.</t>
  </si>
  <si>
    <t>SCR-024</t>
  </si>
  <si>
    <t>Overall assurance opinion</t>
  </si>
  <si>
    <t>Structured opinion + narrative</t>
  </si>
  <si>
    <t>Supports board, funder, auditor and operator decisions.</t>
  </si>
  <si>
    <t>SCR-025</t>
  </si>
  <si>
    <t>Opinion issue date and validity</t>
  </si>
  <si>
    <t>Controls active use and expiry.</t>
  </si>
  <si>
    <t>SCR-026</t>
  </si>
  <si>
    <t>Trend versus prior assessment</t>
  </si>
  <si>
    <t>Improving / Stable / Deteriorating + delta</t>
  </si>
  <si>
    <t>Supports continuous health monitoring.</t>
  </si>
  <si>
    <t>14</t>
  </si>
  <si>
    <t>Risk, Issue, Finding, Control, Action and Condition</t>
  </si>
  <si>
    <t>RCA-001</t>
  </si>
  <si>
    <t>Register item ID</t>
  </si>
  <si>
    <t>Links risk, issue, finding, action or condition to evidence and decisions.</t>
  </si>
  <si>
    <t>RCA-002</t>
  </si>
  <si>
    <t>Item type</t>
  </si>
  <si>
    <t>Risk / Issue / Finding / Weakness / Exception / Condition / Assumption / Dependency / Lesson</t>
  </si>
  <si>
    <t>Determines workflow and reporting.</t>
  </si>
  <si>
    <t>RCA-003</t>
  </si>
  <si>
    <t>Title and detailed description</t>
  </si>
  <si>
    <t>Defines the matter clearly.</t>
  </si>
  <si>
    <t>RCA-004</t>
  </si>
  <si>
    <t>Cause / root cause</t>
  </si>
  <si>
    <t>M for issue/finding</t>
  </si>
  <si>
    <t>Structured text / taxonomy</t>
  </si>
  <si>
    <t>Supports effective remediation.</t>
  </si>
  <si>
    <t>RCA-005</t>
  </si>
  <si>
    <t>Risk event</t>
  </si>
  <si>
    <t>Describes what may occur.</t>
  </si>
  <si>
    <t>RCA-006</t>
  </si>
  <si>
    <t>Impact / consequence</t>
  </si>
  <si>
    <t>Text + impact categories</t>
  </si>
  <si>
    <t>Supports severity and decision impact.</t>
  </si>
  <si>
    <t>RCA-007</t>
  </si>
  <si>
    <t>Affected objectives / assets / stakeholders</t>
  </si>
  <si>
    <t>Linked objects</t>
  </si>
  <si>
    <t>Shows scope of exposure.</t>
  </si>
  <si>
    <t>RCA-008</t>
  </si>
  <si>
    <t>Inherent likelihood</t>
  </si>
  <si>
    <t>Configured scale</t>
  </si>
  <si>
    <t>Rates exposure before controls.</t>
  </si>
  <si>
    <t>RCA-009</t>
  </si>
  <si>
    <t>Inherent impact</t>
  </si>
  <si>
    <t>Rates consequence before controls.</t>
  </si>
  <si>
    <t>RCA-010</t>
  </si>
  <si>
    <t>Inherent risk rating</t>
  </si>
  <si>
    <t>Calculated</t>
  </si>
  <si>
    <t>Supports prioritisation.</t>
  </si>
  <si>
    <t>RCA-011</t>
  </si>
  <si>
    <t>Risk velocity and proximity</t>
  </si>
  <si>
    <t>Scale + date</t>
  </si>
  <si>
    <t>Supports urgency and escalation.</t>
  </si>
  <si>
    <t>RCA-012</t>
  </si>
  <si>
    <t>Existing controls</t>
  </si>
  <si>
    <t>Linked control records</t>
  </si>
  <si>
    <t>Shows current mitigation.</t>
  </si>
  <si>
    <t>RCA-013</t>
  </si>
  <si>
    <t>Control owner and frequency</t>
  </si>
  <si>
    <t>Role + cadence</t>
  </si>
  <si>
    <t>Assigns operating accountability.</t>
  </si>
  <si>
    <t>RCA-014</t>
  </si>
  <si>
    <t>Control design effectiveness</t>
  </si>
  <si>
    <t>Effective / Partial / Ineffective</t>
  </si>
  <si>
    <t>Tests whether the control is adequate.</t>
  </si>
  <si>
    <t>RCA-015</t>
  </si>
  <si>
    <t>Control operating effectiveness</t>
  </si>
  <si>
    <t>Tests whether the control works in practice.</t>
  </si>
  <si>
    <t>RCA-016</t>
  </si>
  <si>
    <t>Residual likelihood / impact / rating</t>
  </si>
  <si>
    <t>M for risk</t>
  </si>
  <si>
    <t>Configured scales</t>
  </si>
  <si>
    <t>Shows remaining exposure.</t>
  </si>
  <si>
    <t>RCA-017</t>
  </si>
  <si>
    <t>Severity / priority</t>
  </si>
  <si>
    <t>Critical / High / Medium / Low</t>
  </si>
  <si>
    <t>Controls action deadlines and authority.</t>
  </si>
  <si>
    <t>RCA-018</t>
  </si>
  <si>
    <t>Appetite / tolerance result</t>
  </si>
  <si>
    <t>Within / Near / Outside</t>
  </si>
  <si>
    <t>Determines escalation.</t>
  </si>
  <si>
    <t>RCA-019</t>
  </si>
  <si>
    <t>Linked question, domain, stage, gate and work package</t>
  </si>
  <si>
    <t>Provides full-cycle traceability.</t>
  </si>
  <si>
    <t>RCA-020</t>
  </si>
  <si>
    <t>Required action / treatment</t>
  </si>
  <si>
    <t>Defines the corrective response.</t>
  </si>
  <si>
    <t>RCA-021</t>
  </si>
  <si>
    <t>Action owner</t>
  </si>
  <si>
    <t>Establishes accountability.</t>
  </si>
  <si>
    <t>RCA-022</t>
  </si>
  <si>
    <t>Action budget / funding requirement</t>
  </si>
  <si>
    <t>Currency + source</t>
  </si>
  <si>
    <t>Prevents unfunded remediation.</t>
  </si>
  <si>
    <t>RCA-023</t>
  </si>
  <si>
    <t>Action start and due dates</t>
  </si>
  <si>
    <t>Controls monitoring and escalation.</t>
  </si>
  <si>
    <t>RCA-024</t>
  </si>
  <si>
    <t>Action dependencies</t>
  </si>
  <si>
    <t>Shows blockers and sequence.</t>
  </si>
  <si>
    <t>RCA-025</t>
  </si>
  <si>
    <t>Escalation trigger and route</t>
  </si>
  <si>
    <t>Rule + authority</t>
  </si>
  <si>
    <t>Ensures material delay or failure is escalated.</t>
  </si>
  <si>
    <t>RCA-026</t>
  </si>
  <si>
    <t>Action status and completion percentage</t>
  </si>
  <si>
    <t>Status + 0-100%</t>
  </si>
  <si>
    <t>Supports dashboards.</t>
  </si>
  <si>
    <t>RCA-027</t>
  </si>
  <si>
    <t>Closure evidence</t>
  </si>
  <si>
    <t>M for closure</t>
  </si>
  <si>
    <t>Linked evidence</t>
  </si>
  <si>
    <t>Prevents discussion-only closure.</t>
  </si>
  <si>
    <t>RCA-028</t>
  </si>
  <si>
    <t>Closure reviewer and acceptance date</t>
  </si>
  <si>
    <t>Linked reviewer + date</t>
  </si>
  <si>
    <t>Confirms independent acceptance.</t>
  </si>
  <si>
    <t>RCA-029</t>
  </si>
  <si>
    <t>Residual condition after closure</t>
  </si>
  <si>
    <t>Text + owner + expiry</t>
  </si>
  <si>
    <t>Records remaining exposure.</t>
  </si>
  <si>
    <t>RCA-030</t>
  </si>
  <si>
    <t>Reopen trigger / reason</t>
  </si>
  <si>
    <t>Rule + event</t>
  </si>
  <si>
    <t>Supports continuous assurance.</t>
  </si>
  <si>
    <t>15</t>
  </si>
  <si>
    <t>Lifecycle, Work-Package, Schedule and Gate Control</t>
  </si>
  <si>
    <t>GAT-001</t>
  </si>
  <si>
    <t>Lifecycle-stage ID / version</t>
  </si>
  <si>
    <t>Links operational lifecycle controls.</t>
  </si>
  <si>
    <t>GAT-002</t>
  </si>
  <si>
    <t>Stage purpose and entry criteria</t>
  </si>
  <si>
    <t>Text + rule set</t>
  </si>
  <si>
    <t>Defines prerequisites for activation.</t>
  </si>
  <si>
    <t>GAT-003</t>
  </si>
  <si>
    <t>Stage exit criteria</t>
  </si>
  <si>
    <t>Rule set</t>
  </si>
  <si>
    <t>Defines evidence required for completion.</t>
  </si>
  <si>
    <t>GAT-004</t>
  </si>
  <si>
    <t>Stage status</t>
  </si>
  <si>
    <t>Not Started / Active / Conditional / Review / Complete / Held / Remediating / Stopped / Withdrawn</t>
  </si>
  <si>
    <t>Controls progression.</t>
  </si>
  <si>
    <t>GAT-005</t>
  </si>
  <si>
    <t>Stage accountable owner</t>
  </si>
  <si>
    <t>Linked role</t>
  </si>
  <si>
    <t>Assigns delivery accountability.</t>
  </si>
  <si>
    <t>GAT-006</t>
  </si>
  <si>
    <t>Stage baseline / forecast / actual dates</t>
  </si>
  <si>
    <t>Supports schedule control without creating authority.</t>
  </si>
  <si>
    <t>GAT-007</t>
  </si>
  <si>
    <t>Stage completion percentage</t>
  </si>
  <si>
    <t>Measures activities and accepted deliverables.</t>
  </si>
  <si>
    <t>GAT-008</t>
  </si>
  <si>
    <t>Stage evidence sufficiency</t>
  </si>
  <si>
    <t>Determines readiness for review.</t>
  </si>
  <si>
    <t>GAT-009</t>
  </si>
  <si>
    <t>Work-package ID and version</t>
  </si>
  <si>
    <t>WP1-WP37</t>
  </si>
  <si>
    <t>Maps the source 37-stage question bank.</t>
  </si>
  <si>
    <t>GAT-010</t>
  </si>
  <si>
    <t>Work-package scope and deliverables</t>
  </si>
  <si>
    <t>Text + linked deliverables</t>
  </si>
  <si>
    <t>Defines detailed execution and evidence production.</t>
  </si>
  <si>
    <t>GAT-011</t>
  </si>
  <si>
    <t>WBS / task / milestone links</t>
  </si>
  <si>
    <t>Structured schedule links</t>
  </si>
  <si>
    <t>Connects assessment to project execution.</t>
  </si>
  <si>
    <t>GAT-012</t>
  </si>
  <si>
    <t>Dependencies and critical-path status</t>
  </si>
  <si>
    <t>Linked items + status</t>
  </si>
  <si>
    <t>Identifies blocked or late progression.</t>
  </si>
  <si>
    <t>GAT-013</t>
  </si>
  <si>
    <t>Executive gate ID / version</t>
  </si>
  <si>
    <t>Identifies the non-bypassable decision point.</t>
  </si>
  <si>
    <t>GAT-014</t>
  </si>
  <si>
    <t>Gate prerequisites</t>
  </si>
  <si>
    <t>Defines mandatory evidence and control conditions.</t>
  </si>
  <si>
    <t>GAT-015</t>
  </si>
  <si>
    <t>Gate review date</t>
  </si>
  <si>
    <t>Triggers review only; it does not authorise progression.</t>
  </si>
  <si>
    <t>GAT-016</t>
  </si>
  <si>
    <t>Evidence reviewed at gate</t>
  </si>
  <si>
    <t>Immutable evidence snapshot</t>
  </si>
  <si>
    <t>Establishes the basis of the decision.</t>
  </si>
  <si>
    <t>GAT-017</t>
  </si>
  <si>
    <t>Gate findings / risks / conditions</t>
  </si>
  <si>
    <t>Discloses unresolved matters.</t>
  </si>
  <si>
    <t>GAT-018</t>
  </si>
  <si>
    <t>Gate decision</t>
  </si>
  <si>
    <t>Proceed / Proceed with Conditions / Hold / Revise / Defer / No-Go / Stop-Escalate / Withdraw</t>
  </si>
  <si>
    <t>Controls the authorised pathway.</t>
  </si>
  <si>
    <t>GAT-019</t>
  </si>
  <si>
    <t>Decision rationale</t>
  </si>
  <si>
    <t>Explains why the decision is supported.</t>
  </si>
  <si>
    <t>GAT-020</t>
  </si>
  <si>
    <t>Decision authority, quorum and signatures</t>
  </si>
  <si>
    <t>Linked body / persons + evidence</t>
  </si>
  <si>
    <t>Validates legal and governance authority.</t>
  </si>
  <si>
    <t>GAT-021</t>
  </si>
  <si>
    <t>Condition owners and deadlines</t>
  </si>
  <si>
    <t>Required for conditional progression.</t>
  </si>
  <si>
    <t>GAT-022</t>
  </si>
  <si>
    <t>Downstream restrictions</t>
  </si>
  <si>
    <t>Procurement / drawdown / mobilisation / payment / launch / other</t>
  </si>
  <si>
    <t>Blocks actions when prerequisites are not accepted.</t>
  </si>
  <si>
    <t>GAT-023</t>
  </si>
  <si>
    <t>Gate certificate number / issue date</t>
  </si>
  <si>
    <t>Identifier + date</t>
  </si>
  <si>
    <t>Provides a controlled decision record.</t>
  </si>
  <si>
    <t>GAT-024</t>
  </si>
  <si>
    <t>Gate validity / reopening trigger</t>
  </si>
  <si>
    <t>Date / material event rule</t>
  </si>
  <si>
    <t>Ensures decisions are reassessed after material change.</t>
  </si>
  <si>
    <t>16</t>
  </si>
  <si>
    <t>Financial, Commercial, Funding and Capital Data</t>
  </si>
  <si>
    <t>FIN-001</t>
  </si>
  <si>
    <t>Financial-model ID and version</t>
  </si>
  <si>
    <t>Identifier</t>
  </si>
  <si>
    <t>Links the approved assumptions, formulas and scenario.</t>
  </si>
  <si>
    <t>FIN-002</t>
  </si>
  <si>
    <t>Model as-of date / currency / price basis</t>
  </si>
  <si>
    <t>Date + currency + base year</t>
  </si>
  <si>
    <t>Prevents inconsistent comparisons.</t>
  </si>
  <si>
    <t>FIN-003</t>
  </si>
  <si>
    <t>Assumption ID, value, unit and source</t>
  </si>
  <si>
    <t>Structured record</t>
  </si>
  <si>
    <t>Provides source-to-model traceability.</t>
  </si>
  <si>
    <t>FIN-004</t>
  </si>
  <si>
    <t>Assumption approver and status</t>
  </si>
  <si>
    <t>Person + approval state</t>
  </si>
  <si>
    <t>Controls use of material assumptions.</t>
  </si>
  <si>
    <t>FIN-005</t>
  </si>
  <si>
    <t>Scenario</t>
  </si>
  <si>
    <t>Base / Downside / Upside / Stress / Custom</t>
  </si>
  <si>
    <t>Supports viability and resilience testing.</t>
  </si>
  <si>
    <t>FIN-006</t>
  </si>
  <si>
    <t>CAPEX category, baseline, forecast and actual</t>
  </si>
  <si>
    <t>Currency by category</t>
  </si>
  <si>
    <t>Supports cost assurance and variance control.</t>
  </si>
  <si>
    <t>FIN-007</t>
  </si>
  <si>
    <t>OPEX category, baseline, forecast and actual</t>
  </si>
  <si>
    <t>Currency by period</t>
  </si>
  <si>
    <t>Tests operating affordability and sustainability.</t>
  </si>
  <si>
    <t>FIN-008</t>
  </si>
  <si>
    <t>Revenue stream, rate, volume and period</t>
  </si>
  <si>
    <t>Structured calculation</t>
  </si>
  <si>
    <t>Supports rental, fuel, retail and other income forecasts.</t>
  </si>
  <si>
    <t>FIN-009</t>
  </si>
  <si>
    <t>Rent roll and escalation assumptions</t>
  </si>
  <si>
    <t>Tenant / GLA / rate / escalation</t>
  </si>
  <si>
    <t>Tests shopping-complex income.</t>
  </si>
  <si>
    <t>FIN-010</t>
  </si>
  <si>
    <t>Fuel volume and margin assumptions</t>
  </si>
  <si>
    <t>Litres / margin / period</t>
  </si>
  <si>
    <t>Tests filling-station viability.</t>
  </si>
  <si>
    <t>FIN-011</t>
  </si>
  <si>
    <t>Working-capital requirement</t>
  </si>
  <si>
    <t>Tests launch and operating liquidity.</t>
  </si>
  <si>
    <t>FIN-012</t>
  </si>
  <si>
    <t>Contingency and escalation allowance</t>
  </si>
  <si>
    <t>Percentage / currency</t>
  </si>
  <si>
    <t>Supports cost and risk adequacy.</t>
  </si>
  <si>
    <t>FIN-013</t>
  </si>
  <si>
    <t>Tax, VAT and statutory-charge assumptions</t>
  </si>
  <si>
    <t>Structured rates</t>
  </si>
  <si>
    <t>Supports compliant financial projections.</t>
  </si>
  <si>
    <t>FIN-014</t>
  </si>
  <si>
    <t>Cash-flow forecast</t>
  </si>
  <si>
    <t>Period, inflow, outflow, balance</t>
  </si>
  <si>
    <t>Tests liquidity and drawdown timing.</t>
  </si>
  <si>
    <t>FIN-015</t>
  </si>
  <si>
    <t>Profit and loss forecast</t>
  </si>
  <si>
    <t>Period values</t>
  </si>
  <si>
    <t>Tests commercial viability.</t>
  </si>
  <si>
    <t>FIN-016</t>
  </si>
  <si>
    <t>Balance-sheet forecast</t>
  </si>
  <si>
    <t>Supports funding and covenant analysis.</t>
  </si>
  <si>
    <t>FIN-017</t>
  </si>
  <si>
    <t>NPV / IRR / payback / break-even</t>
  </si>
  <si>
    <t>Calculated metrics + assumptions</t>
  </si>
  <si>
    <t>Supports investment decision according to mandate.</t>
  </si>
  <si>
    <t>FIN-018</t>
  </si>
  <si>
    <t>Sensitivity and stress-test results</t>
  </si>
  <si>
    <t>Variable / range / outcome</t>
  </si>
  <si>
    <t>Shows vulnerability to key assumptions.</t>
  </si>
  <si>
    <t>FIN-019</t>
  </si>
  <si>
    <t>Funding-source / instrument</t>
  </si>
  <si>
    <t>Equity / Debt / Grant / Mezzanine / Other</t>
  </si>
  <si>
    <t>Defines capital structure.</t>
  </si>
  <si>
    <t>FIN-020</t>
  </si>
  <si>
    <t>Provider, amount, pricing, term and availability</t>
  </si>
  <si>
    <t>Structured facility data</t>
  </si>
  <si>
    <t>Tests funding certainty.</t>
  </si>
  <si>
    <t>FIN-021</t>
  </si>
  <si>
    <t>Equity contribution status</t>
  </si>
  <si>
    <t>Committed / Paid / Conditional + evidence</t>
  </si>
  <si>
    <t>Tests sponsor commitment.</t>
  </si>
  <si>
    <t>FIN-022</t>
  </si>
  <si>
    <t>Term sheet / facility agreement</t>
  </si>
  <si>
    <t>Evidence link + status</t>
  </si>
  <si>
    <t>Supports funding readiness and financial close.</t>
  </si>
  <si>
    <t>FIN-023</t>
  </si>
  <si>
    <t>Conditions precedent</t>
  </si>
  <si>
    <t>Requirement, owner, due date, status</t>
  </si>
  <si>
    <t>Controls drawdown and close.</t>
  </si>
  <si>
    <t>FIN-024</t>
  </si>
  <si>
    <t>Security package and perfection status</t>
  </si>
  <si>
    <t>Asset / guarantee / cession / registration</t>
  </si>
  <si>
    <t>Protects funder and sponsor interests.</t>
  </si>
  <si>
    <t>FIN-025</t>
  </si>
  <si>
    <t>Covenants and reporting obligations</t>
  </si>
  <si>
    <t>Threshold / frequency / status</t>
  </si>
  <si>
    <t>Supports capital governance.</t>
  </si>
  <si>
    <t>FIN-026</t>
  </si>
  <si>
    <t>Drawdown schedule and authorisation</t>
  </si>
  <si>
    <t>Milestone / amount / authority</t>
  </si>
  <si>
    <t>Controls use of funds.</t>
  </si>
  <si>
    <t>FIN-027</t>
  </si>
  <si>
    <t>Use-of-funds category and budget</t>
  </si>
  <si>
    <t>Structured allocation</t>
  </si>
  <si>
    <t>Supports capital integrity.</t>
  </si>
  <si>
    <t>FIN-028</t>
  </si>
  <si>
    <t>Payment / invoice / certificate reconciliation</t>
  </si>
  <si>
    <t>Request, quantity, contract, approval, account</t>
  </si>
  <si>
    <t>Prevents unsupported capital movement.</t>
  </si>
  <si>
    <t>FIN-029</t>
  </si>
  <si>
    <t>Cost and funding assurance opinion</t>
  </si>
  <si>
    <t>States affordability, funding certainty and capital-control adequacy.</t>
  </si>
  <si>
    <t>17</t>
  </si>
  <si>
    <t>Procurement, Supplier, Contract and Integrity Control</t>
  </si>
  <si>
    <t>PRO-001</t>
  </si>
  <si>
    <t>Procurement package ID and scope</t>
  </si>
  <si>
    <t>Identifier + text</t>
  </si>
  <si>
    <t>Links tender, contract, budget, stage and deliverables.</t>
  </si>
  <si>
    <t>PRO-002</t>
  </si>
  <si>
    <t>Procurement strategy / route</t>
  </si>
  <si>
    <t>Open / Restricted / Negotiated / Framework / Other</t>
  </si>
  <si>
    <t>Tests fairness, value and authority.</t>
  </si>
  <si>
    <t>PRO-003</t>
  </si>
  <si>
    <t>Procurement plan and timetable</t>
  </si>
  <si>
    <t>Document + dates</t>
  </si>
  <si>
    <t>Supports readiness and dependencies.</t>
  </si>
  <si>
    <t>PRO-004</t>
  </si>
  <si>
    <t>Delegated procurement authority</t>
  </si>
  <si>
    <t>Role / limit / evidence</t>
  </si>
  <si>
    <t>Validates approvals.</t>
  </si>
  <si>
    <t>PRO-005</t>
  </si>
  <si>
    <t>Tender / RFQ reference and issue version</t>
  </si>
  <si>
    <t>Controls bidder information and evaluation basis.</t>
  </si>
  <si>
    <t>PRO-006</t>
  </si>
  <si>
    <t>Bidder / supplier / contractor ID</t>
  </si>
  <si>
    <t>Maintains one due-diligence profile.</t>
  </si>
  <si>
    <t>PRO-007</t>
  </si>
  <si>
    <t>Beneficial ownership and related-party status</t>
  </si>
  <si>
    <t>Linked parties + flags</t>
  </si>
  <si>
    <t>Supports integrity screening.</t>
  </si>
  <si>
    <t>PRO-008</t>
  </si>
  <si>
    <t>Bid receipt details and compliance</t>
  </si>
  <si>
    <t>Date-time + checklist</t>
  </si>
  <si>
    <t>Supports auditability.</t>
  </si>
  <si>
    <t>PRO-009</t>
  </si>
  <si>
    <t>Evaluation criteria and weights</t>
  </si>
  <si>
    <t>Configured scoring</t>
  </si>
  <si>
    <t>Ensures approved and reproducible evaluation.</t>
  </si>
  <si>
    <t>PRO-010</t>
  </si>
  <si>
    <t>Technical, commercial and transformation scores</t>
  </si>
  <si>
    <t>Scores + rationale</t>
  </si>
  <si>
    <t>Supports award recommendation.</t>
  </si>
  <si>
    <t>PRO-011</t>
  </si>
  <si>
    <t>Capability, resources and experience</t>
  </si>
  <si>
    <t>Tests ability to perform.</t>
  </si>
  <si>
    <t>PRO-012</t>
  </si>
  <si>
    <t>Financial-strength assessment</t>
  </si>
  <si>
    <t>Tests solvency and delivery capacity.</t>
  </si>
  <si>
    <t>PRO-013</t>
  </si>
  <si>
    <t>HSE and quality performance</t>
  </si>
  <si>
    <t>Tests delivery risk.</t>
  </si>
  <si>
    <t>PRO-014</t>
  </si>
  <si>
    <t>Conflict / collusion / anomaly indicators</t>
  </si>
  <si>
    <t>Flags + investigation</t>
  </si>
  <si>
    <t>Triggers forensic review where needed.</t>
  </si>
  <si>
    <t>PRO-015</t>
  </si>
  <si>
    <t>Due-diligence outcome</t>
  </si>
  <si>
    <t>Pass / Conditional / Fail</t>
  </si>
  <si>
    <t>Controls appointment.</t>
  </si>
  <si>
    <t>PRO-016</t>
  </si>
  <si>
    <t>Award recommendation and rationale</t>
  </si>
  <si>
    <t>Decision record</t>
  </si>
  <si>
    <t>Provides transparent basis.</t>
  </si>
  <si>
    <t>PRO-017</t>
  </si>
  <si>
    <t>Contract ID, type, value and parties</t>
  </si>
  <si>
    <t>Structured contract data</t>
  </si>
  <si>
    <t>Links obligations, payments and performance.</t>
  </si>
  <si>
    <t>PRO-018</t>
  </si>
  <si>
    <t>Contract status and execution date</t>
  </si>
  <si>
    <t>Draft / Executed / Active / Suspended / Closed</t>
  </si>
  <si>
    <t>Determines legal effect.</t>
  </si>
  <si>
    <t>PRO-019</t>
  </si>
  <si>
    <t>Scope, deliverables and acceptance criteria</t>
  </si>
  <si>
    <t>Structured obligations</t>
  </si>
  <si>
    <t>Links performance to evidence and payment.</t>
  </si>
  <si>
    <t>PRO-020</t>
  </si>
  <si>
    <t>Insurance, guarantees and securities</t>
  </si>
  <si>
    <t>Type / amount / expiry</t>
  </si>
  <si>
    <t>Protects delivery and capital.</t>
  </si>
  <si>
    <t>PRO-021</t>
  </si>
  <si>
    <t>Performance milestones and payment terms</t>
  </si>
  <si>
    <t>Dates / amounts / conditions</t>
  </si>
  <si>
    <t>Supports programme and payment control.</t>
  </si>
  <si>
    <t>PRO-022</t>
  </si>
  <si>
    <t>Variation / claim register</t>
  </si>
  <si>
    <t>Scope, cause, cost, time, authority</t>
  </si>
  <si>
    <t>Controls changes and disputes.</t>
  </si>
  <si>
    <t>PRO-023</t>
  </si>
  <si>
    <t>Supplier performance and non-conformance</t>
  </si>
  <si>
    <t>KPIs + findings</t>
  </si>
  <si>
    <t>Supports ongoing assurance.</t>
  </si>
  <si>
    <t>PRO-024</t>
  </si>
  <si>
    <t>Termination / dispute / remedy status</t>
  </si>
  <si>
    <t>Structured legal record</t>
  </si>
  <si>
    <t>Shows material contract risk.</t>
  </si>
  <si>
    <t>PRO-025</t>
  </si>
  <si>
    <t>Procurement and integrity assurance opinion</t>
  </si>
  <si>
    <t>States whether appointment and contract controls are adequate.</t>
  </si>
  <si>
    <t>18</t>
  </si>
  <si>
    <t>Design, Engineering, Permit and Compliance Data</t>
  </si>
  <si>
    <t>TEC-001</t>
  </si>
  <si>
    <t>Requirement ID and source</t>
  </si>
  <si>
    <t>Identifier + source</t>
  </si>
  <si>
    <t>Links client, statutory, tenant and operator needs.</t>
  </si>
  <si>
    <t>TEC-002</t>
  </si>
  <si>
    <t>Discipline</t>
  </si>
  <si>
    <t>Architecture / Civil / Structural / Mechanical / Electrical / Fire / Other</t>
  </si>
  <si>
    <t>Assigns design ownership.</t>
  </si>
  <si>
    <t>TEC-003</t>
  </si>
  <si>
    <t>Design deliverable / drawing / specification ID</t>
  </si>
  <si>
    <t>Provides revision and traceability control.</t>
  </si>
  <si>
    <t>TEC-004</t>
  </si>
  <si>
    <t>Revision, status and issue purpose</t>
  </si>
  <si>
    <t>Rev + Draft / Review / Tender / Construction / As-built</t>
  </si>
  <si>
    <t>Prevents wrong-version use.</t>
  </si>
  <si>
    <t>TEC-005</t>
  </si>
  <si>
    <t>Designer and professional registration</t>
  </si>
  <si>
    <t>Linked professional + registration</t>
  </si>
  <si>
    <t>Tests competence and accountability.</t>
  </si>
  <si>
    <t>TEC-006</t>
  </si>
  <si>
    <t>Design basis / criteria</t>
  </si>
  <si>
    <t>Document link</t>
  </si>
  <si>
    <t>Records assumptions, codes and performance requirements.</t>
  </si>
  <si>
    <t>TEC-007</t>
  </si>
  <si>
    <t>Design review / check status</t>
  </si>
  <si>
    <t>Pending / Checked / Approved / Rejected</t>
  </si>
  <si>
    <t>Supports maker-checker control.</t>
  </si>
  <si>
    <t>TEC-008</t>
  </si>
  <si>
    <t>Interdisciplinary coordination status</t>
  </si>
  <si>
    <t>Open / Coordinated / Clash / Resolved</t>
  </si>
  <si>
    <t>Controls interface risk.</t>
  </si>
  <si>
    <t>TEC-009</t>
  </si>
  <si>
    <t>Constructability review</t>
  </si>
  <si>
    <t>Status + findings</t>
  </si>
  <si>
    <t>Tests deliverability and sequencing.</t>
  </si>
  <si>
    <t>TEC-010</t>
  </si>
  <si>
    <t>Value-engineering decision</t>
  </si>
  <si>
    <t>Proposal, impact, approval</t>
  </si>
  <si>
    <t>Controls value changes without reducing mandatory compliance.</t>
  </si>
  <si>
    <t>TEC-011</t>
  </si>
  <si>
    <t>BOQ / quantity / specification link</t>
  </si>
  <si>
    <t>Structured link</t>
  </si>
  <si>
    <t>Supports cost and procurement consistency.</t>
  </si>
  <si>
    <t>TEC-012</t>
  </si>
  <si>
    <t>Design cost and programme impact</t>
  </si>
  <si>
    <t>Currency + days</t>
  </si>
  <si>
    <t>Feeds change control.</t>
  </si>
  <si>
    <t>TEC-013</t>
  </si>
  <si>
    <t>Applicable law / standard / code</t>
  </si>
  <si>
    <t>Reference + edition</t>
  </si>
  <si>
    <t>Provides compliance basis.</t>
  </si>
  <si>
    <t>TEC-014</t>
  </si>
  <si>
    <t>Permit / licence / approval ID</t>
  </si>
  <si>
    <t>Tracks regulatory requirements.</t>
  </si>
  <si>
    <t>TEC-015</t>
  </si>
  <si>
    <t>Authority and legal basis</t>
  </si>
  <si>
    <t>Linked authority + reference</t>
  </si>
  <si>
    <t>Confirms competent approval route.</t>
  </si>
  <si>
    <t>TEC-016</t>
  </si>
  <si>
    <t>Applicability and submission requirements</t>
  </si>
  <si>
    <t>Rules / checklist</t>
  </si>
  <si>
    <t>Prevents omitted approvals.</t>
  </si>
  <si>
    <t>TEC-017</t>
  </si>
  <si>
    <t>Submission, receipt and decision dates</t>
  </si>
  <si>
    <t>Supports programme and escalation.</t>
  </si>
  <si>
    <t>TEC-018</t>
  </si>
  <si>
    <t>Approval status</t>
  </si>
  <si>
    <t>Not Submitted / Submitted / Comments / Approved / Refused / Expired</t>
  </si>
  <si>
    <t>Controls work and launch eligibility.</t>
  </si>
  <si>
    <t>TEC-019</t>
  </si>
  <si>
    <t>Approval conditions and owner</t>
  </si>
  <si>
    <t>Condition register</t>
  </si>
  <si>
    <t>Ensures conditions are implemented.</t>
  </si>
  <si>
    <t>TEC-020</t>
  </si>
  <si>
    <t>Compliance certificate / inspection link</t>
  </si>
  <si>
    <t>Evidence</t>
  </si>
  <si>
    <t>Supports commissioning and handover.</t>
  </si>
  <si>
    <t>TEC-021</t>
  </si>
  <si>
    <t>Expiry / renewal / ongoing obligation</t>
  </si>
  <si>
    <t>Date + requirement</t>
  </si>
  <si>
    <t>Supports operations and continuity.</t>
  </si>
  <si>
    <t>TEC-022</t>
  </si>
  <si>
    <t>Technical and regulatory assurance opinion</t>
  </si>
  <si>
    <t>States whether design and approvals support safe, lawful execution.</t>
  </si>
  <si>
    <t>19</t>
  </si>
  <si>
    <t>Delivery, Quality, HSE, Environmental, Commissioning and Handover</t>
  </si>
  <si>
    <t>DEL-001</t>
  </si>
  <si>
    <t>Site possession / handover status</t>
  </si>
  <si>
    <t>Status + certificate</t>
  </si>
  <si>
    <t>Controls lawful mobilisation.</t>
  </si>
  <si>
    <t>DEL-002</t>
  </si>
  <si>
    <t>Baseline programme / revision</t>
  </si>
  <si>
    <t>Schedule link</t>
  </si>
  <si>
    <t>Supports progress and critical-path control.</t>
  </si>
  <si>
    <t>DEL-003</t>
  </si>
  <si>
    <t>Daily / weekly / monthly progress</t>
  </si>
  <si>
    <t>Quantity, percentage, narrative</t>
  </si>
  <si>
    <t>Measures actual delivery.</t>
  </si>
  <si>
    <t>DEL-004</t>
  </si>
  <si>
    <t>Progress evidence</t>
  </si>
  <si>
    <t>Photos, surveys, reports, geolocation where authorised</t>
  </si>
  <si>
    <t>Supports certified completion.</t>
  </si>
  <si>
    <t>DEL-005</t>
  </si>
  <si>
    <t>Inspection and test plan</t>
  </si>
  <si>
    <t>Document + hold points</t>
  </si>
  <si>
    <t>Defines quality verification.</t>
  </si>
  <si>
    <t>DEL-006</t>
  </si>
  <si>
    <t>Inspection / test result</t>
  </si>
  <si>
    <t>Type, location, result, date</t>
  </si>
  <si>
    <t>Supports acceptance and non-conformance control.</t>
  </si>
  <si>
    <t>DEL-007</t>
  </si>
  <si>
    <t>Material / equipment approval</t>
  </si>
  <si>
    <t>Submittal, standard, approval</t>
  </si>
  <si>
    <t>Prevents unapproved materials.</t>
  </si>
  <si>
    <t>DEL-008</t>
  </si>
  <si>
    <t>NCR / defect / punch-list item</t>
  </si>
  <si>
    <t>Severity, owner, due date</t>
  </si>
  <si>
    <t>Tracks quality gaps to closure.</t>
  </si>
  <si>
    <t>DEL-009</t>
  </si>
  <si>
    <t>HSE plan / file status</t>
  </si>
  <si>
    <t>Controls construction safety readiness.</t>
  </si>
  <si>
    <t>DEL-010</t>
  </si>
  <si>
    <t>Baseline and task risk assessments</t>
  </si>
  <si>
    <t>Supports safe execution.</t>
  </si>
  <si>
    <t>DEL-011</t>
  </si>
  <si>
    <t>Permit-to-work / method-statement status</t>
  </si>
  <si>
    <t>Status + approval</t>
  </si>
  <si>
    <t>Controls high-risk activities.</t>
  </si>
  <si>
    <t>DEL-012</t>
  </si>
  <si>
    <t>HSE observation / incident</t>
  </si>
  <si>
    <t>Type, severity, investigation, action</t>
  </si>
  <si>
    <t>Supports statutory and corrective action.</t>
  </si>
  <si>
    <t>DEL-013</t>
  </si>
  <si>
    <t>Environmental-management plan and controls</t>
  </si>
  <si>
    <t>Controls construction environmental obligations.</t>
  </si>
  <si>
    <t>DEL-014</t>
  </si>
  <si>
    <t>Environmental monitoring result</t>
  </si>
  <si>
    <t>Indicator, limit, result, action</t>
  </si>
  <si>
    <t>Tests compliance.</t>
  </si>
  <si>
    <t>DEL-015</t>
  </si>
  <si>
    <t>Variation / change request</t>
  </si>
  <si>
    <t>Scope, cause, cost, time, benefit impact</t>
  </si>
  <si>
    <t>Controls approved baselines.</t>
  </si>
  <si>
    <t>DEL-016</t>
  </si>
  <si>
    <t>Progress certificate / valuation</t>
  </si>
  <si>
    <t>Quantity, value, certifier, approval</t>
  </si>
  <si>
    <t>Supports payment and drawdown.</t>
  </si>
  <si>
    <t>DEL-017</t>
  </si>
  <si>
    <t>Commissioning system / script</t>
  </si>
  <si>
    <t>System + test steps</t>
  </si>
  <si>
    <t>Defines readiness verification.</t>
  </si>
  <si>
    <t>DEL-018</t>
  </si>
  <si>
    <t>Commissioning result and statutory clearance</t>
  </si>
  <si>
    <t>Pass / Fail / Conditional + evidence</t>
  </si>
  <si>
    <t>Controls handover and launch.</t>
  </si>
  <si>
    <t>DEL-019</t>
  </si>
  <si>
    <t>Practical / sectional / final completion status</t>
  </si>
  <si>
    <t>Controls transition milestones.</t>
  </si>
  <si>
    <t>DEL-020</t>
  </si>
  <si>
    <t>As-built drawing and O&amp;M manual status</t>
  </si>
  <si>
    <t>Complete / Partial / Missing</t>
  </si>
  <si>
    <t>Supports safe operation and maintenance.</t>
  </si>
  <si>
    <t>DEL-021</t>
  </si>
  <si>
    <t>Warranty / guarantee register</t>
  </si>
  <si>
    <t>Asset, provider, term, expiry</t>
  </si>
  <si>
    <t>Protects asset performance.</t>
  </si>
  <si>
    <t>DEL-022</t>
  </si>
  <si>
    <t>Operator / tenant training record</t>
  </si>
  <si>
    <t>Topic, attendee, date, competence</t>
  </si>
  <si>
    <t>Supports operational readiness.</t>
  </si>
  <si>
    <t>DEL-023</t>
  </si>
  <si>
    <t>Handover acceptance and residual obligations</t>
  </si>
  <si>
    <t>Decision + conditions</t>
  </si>
  <si>
    <t>Prevents transfer with uncontrolled critical gaps.</t>
  </si>
  <si>
    <t>DEL-024</t>
  </si>
  <si>
    <t>Delivery and handover assurance opinion</t>
  </si>
  <si>
    <t>States whether works, compliance and operator readiness are acceptable.</t>
  </si>
  <si>
    <t>20</t>
  </si>
  <si>
    <t>Operations, Asset, Maintenance, Resilience and Continuity</t>
  </si>
  <si>
    <t>OPS-001</t>
  </si>
  <si>
    <t>Operating model and governance</t>
  </si>
  <si>
    <t>Document + responsible roles</t>
  </si>
  <si>
    <t>Defines how the completed asset will function.</t>
  </si>
  <si>
    <t>OPS-002</t>
  </si>
  <si>
    <t>Operating licences and approvals</t>
  </si>
  <si>
    <t>Register + status</t>
  </si>
  <si>
    <t>Controls lawful operation.</t>
  </si>
  <si>
    <t>OPS-003</t>
  </si>
  <si>
    <t>Operating budget and cash requirement</t>
  </si>
  <si>
    <t>Tests financial sustainability.</t>
  </si>
  <si>
    <t>OPS-004</t>
  </si>
  <si>
    <t>Standard operating procedures</t>
  </si>
  <si>
    <t>Register + version</t>
  </si>
  <si>
    <t>Supports consistent service and control.</t>
  </si>
  <si>
    <t>OPS-005</t>
  </si>
  <si>
    <t>Staffing structure and competence</t>
  </si>
  <si>
    <t>Positions, vacancies, training</t>
  </si>
  <si>
    <t>Tests operating capacity.</t>
  </si>
  <si>
    <t>OPS-006</t>
  </si>
  <si>
    <t>Service / facilities-management contracts</t>
  </si>
  <si>
    <t>Supplier, scope, SLA, expiry</t>
  </si>
  <si>
    <t>Supports outsourced operations.</t>
  </si>
  <si>
    <t>OPS-007</t>
  </si>
  <si>
    <t>Asset ID and hierarchy</t>
  </si>
  <si>
    <t>Identifier + parent/location</t>
  </si>
  <si>
    <t>Creates a controlled asset register.</t>
  </si>
  <si>
    <t>OPS-008</t>
  </si>
  <si>
    <t>Asset description, owner and custodian</t>
  </si>
  <si>
    <t>Structured fields</t>
  </si>
  <si>
    <t>Assigns accountability.</t>
  </si>
  <si>
    <t>OPS-009</t>
  </si>
  <si>
    <t>Asset condition and criticality</t>
  </si>
  <si>
    <t>Condition grade + criticality</t>
  </si>
  <si>
    <t>Prioritises maintenance and resilience.</t>
  </si>
  <si>
    <t>OPS-010</t>
  </si>
  <si>
    <t>Asset commissioning / in-service date</t>
  </si>
  <si>
    <t>Starts warranty and lifecycle tracking.</t>
  </si>
  <si>
    <t>OPS-011</t>
  </si>
  <si>
    <t>Warranty and lifecycle cost</t>
  </si>
  <si>
    <t>Term + currency</t>
  </si>
  <si>
    <t>Supports maintenance strategy.</t>
  </si>
  <si>
    <t>OPS-012</t>
  </si>
  <si>
    <t>Maintenance strategy</t>
  </si>
  <si>
    <t>Preventive / Predictive / Reactive / Statutory</t>
  </si>
  <si>
    <t>Defines required care.</t>
  </si>
  <si>
    <t>OPS-013</t>
  </si>
  <si>
    <t>Maintenance plan and frequency</t>
  </si>
  <si>
    <t>Task + schedule</t>
  </si>
  <si>
    <t>Supports continuity.</t>
  </si>
  <si>
    <t>OPS-014</t>
  </si>
  <si>
    <t>Work order / inspection / service record</t>
  </si>
  <si>
    <t>Date, work, result, cost, evidence</t>
  </si>
  <si>
    <t>Confirms maintenance execution.</t>
  </si>
  <si>
    <t>OPS-015</t>
  </si>
  <si>
    <t>Breakdown / downtime / service interruption</t>
  </si>
  <si>
    <t>Duration, cause, impact</t>
  </si>
  <si>
    <t>Measures operational reliability.</t>
  </si>
  <si>
    <t>OPS-016</t>
  </si>
  <si>
    <t>Spares and critical-stock status</t>
  </si>
  <si>
    <t>Item, minimum, availability</t>
  </si>
  <si>
    <t>Supports resilience.</t>
  </si>
  <si>
    <t>OPS-017</t>
  </si>
  <si>
    <t>Service availability and performance KPI</t>
  </si>
  <si>
    <t>Target, actual, variance</t>
  </si>
  <si>
    <t>Shows functionality.</t>
  </si>
  <si>
    <t>OPS-018</t>
  </si>
  <si>
    <t>Customer / user / tenant uptake</t>
  </si>
  <si>
    <t>Target, actual, trend</t>
  </si>
  <si>
    <t>Supports ramp-up and value realisation.</t>
  </si>
  <si>
    <t>OPS-019</t>
  </si>
  <si>
    <t>Operating revenue and cost performance</t>
  </si>
  <si>
    <t>Tests sustainability.</t>
  </si>
  <si>
    <t>OPS-020</t>
  </si>
  <si>
    <t>Incident / complaint / defect trend</t>
  </si>
  <si>
    <t>Counts, severity, closure</t>
  </si>
  <si>
    <t>Supports corrective action.</t>
  </si>
  <si>
    <t>OPS-021</t>
  </si>
  <si>
    <t>Business-continuity and emergency plan</t>
  </si>
  <si>
    <t>Document + test date</t>
  </si>
  <si>
    <t>Controls disruption response.</t>
  </si>
  <si>
    <t>OPS-022</t>
  </si>
  <si>
    <t>Disaster-recovery / resilience exercise</t>
  </si>
  <si>
    <t>Scenario, result, action</t>
  </si>
  <si>
    <t>Tests continuity arrangements.</t>
  </si>
  <si>
    <t>OPS-023</t>
  </si>
  <si>
    <t>Inherited handover conditions</t>
  </si>
  <si>
    <t>Condition, owner, due date, closure</t>
  </si>
  <si>
    <t>Prevents residual obligations being lost.</t>
  </si>
  <si>
    <t>OPS-024</t>
  </si>
  <si>
    <t>Periodic continuity reassessment</t>
  </si>
  <si>
    <t>Date, scope, result, trend</t>
  </si>
  <si>
    <t>Reopens actions when performance deteriorates.</t>
  </si>
  <si>
    <t>OPS-025</t>
  </si>
  <si>
    <t>Operations and continuity assurance opinion</t>
  </si>
  <si>
    <t>States whether the asset remains functional, maintained and financially sustainable.</t>
  </si>
  <si>
    <t>21</t>
  </si>
  <si>
    <t>Sustainability, ESG, MERL, Benefits and Impact Continuity</t>
  </si>
  <si>
    <t>IMP-001</t>
  </si>
  <si>
    <t>Theory of change / results chain ID</t>
  </si>
  <si>
    <t>Linked model</t>
  </si>
  <si>
    <t>Connects activities, outputs, outcomes and impact.</t>
  </si>
  <si>
    <t>IMP-002</t>
  </si>
  <si>
    <t>Strategic outcome / benefit</t>
  </si>
  <si>
    <t>Text + owner</t>
  </si>
  <si>
    <t>Defines intended development value.</t>
  </si>
  <si>
    <t>IMP-003</t>
  </si>
  <si>
    <t>Output / deliverable linkage</t>
  </si>
  <si>
    <t>Linked project deliverable</t>
  </si>
  <si>
    <t>Provides delivery-to-impact traceability.</t>
  </si>
  <si>
    <t>IMP-004</t>
  </si>
  <si>
    <t>Indicator ID, name and definition</t>
  </si>
  <si>
    <t>Structured indicator</t>
  </si>
  <si>
    <t>Creates a consistent measurement basis.</t>
  </si>
  <si>
    <t>IMP-005</t>
  </si>
  <si>
    <t>Indicator dimension</t>
  </si>
  <si>
    <t>Environmental / Social / Governance / Economic / Operational</t>
  </si>
  <si>
    <t>Supports ESG and impact reporting.</t>
  </si>
  <si>
    <t>IMP-006</t>
  </si>
  <si>
    <t>Unit and calculation methodology</t>
  </si>
  <si>
    <t>Text / formula</t>
  </si>
  <si>
    <t>Ensures reproducible measurement.</t>
  </si>
  <si>
    <t>IMP-007</t>
  </si>
  <si>
    <t>Data source and collection method</t>
  </si>
  <si>
    <t>Source + method</t>
  </si>
  <si>
    <t>IMP-008</t>
  </si>
  <si>
    <t>Baseline value and date</t>
  </si>
  <si>
    <t>Value + period</t>
  </si>
  <si>
    <t>Defines starting position.</t>
  </si>
  <si>
    <t>IMP-009</t>
  </si>
  <si>
    <t>Target value, date and trajectory</t>
  </si>
  <si>
    <t>Value + milestones</t>
  </si>
  <si>
    <t>Defines expected performance.</t>
  </si>
  <si>
    <t>IMP-010</t>
  </si>
  <si>
    <t>Actual result and reporting period</t>
  </si>
  <si>
    <t>Measures achievement.</t>
  </si>
  <si>
    <t>IMP-011</t>
  </si>
  <si>
    <t>Disaggregation</t>
  </si>
  <si>
    <t>Gender / age / location / enterprise type / other lawful categories</t>
  </si>
  <si>
    <t>Supports equity analysis with privacy safeguards.</t>
  </si>
  <si>
    <t>IMP-012</t>
  </si>
  <si>
    <t>Data owner and reporting frequency</t>
  </si>
  <si>
    <t>IMP-013</t>
  </si>
  <si>
    <t>Data-quality / confidence rating</t>
  </si>
  <si>
    <t>High / Medium / Low + rationale</t>
  </si>
  <si>
    <t>Discloses reliability.</t>
  </si>
  <si>
    <t>IMP-014</t>
  </si>
  <si>
    <t>Independent verification / assurance status</t>
  </si>
  <si>
    <t>Status + provider</t>
  </si>
  <si>
    <t>Supports credible impact reporting.</t>
  </si>
  <si>
    <t>IMP-015</t>
  </si>
  <si>
    <t>Beneficiary count and definition</t>
  </si>
  <si>
    <t>Number + methodology</t>
  </si>
  <si>
    <t>Measures reach without double counting.</t>
  </si>
  <si>
    <t>IMP-016</t>
  </si>
  <si>
    <t>Jobs created / sustained</t>
  </si>
  <si>
    <t>Temporary / permanent / FTE + evidence</t>
  </si>
  <si>
    <t>Measures employment outcomes.</t>
  </si>
  <si>
    <t>IMP-017</t>
  </si>
  <si>
    <t>Local procurement value / percentage</t>
  </si>
  <si>
    <t>Currency + percentage</t>
  </si>
  <si>
    <t>Measures local economic participation.</t>
  </si>
  <si>
    <t>IMP-018</t>
  </si>
  <si>
    <t>Enterprise / supplier development result</t>
  </si>
  <si>
    <t>Beneficiary, intervention, outcome</t>
  </si>
  <si>
    <t>Measures development value.</t>
  </si>
  <si>
    <t>IMP-019</t>
  </si>
  <si>
    <t>Community-benefit commitment and delivery</t>
  </si>
  <si>
    <t>Commitment, target, actual</t>
  </si>
  <si>
    <t>Tracks social obligations.</t>
  </si>
  <si>
    <t>IMP-020</t>
  </si>
  <si>
    <t>Energy consumption and intensity</t>
  </si>
  <si>
    <t>kWh + denominator</t>
  </si>
  <si>
    <t>Measures efficiency and cost.</t>
  </si>
  <si>
    <t>IMP-021</t>
  </si>
  <si>
    <t>Renewable-energy generation / share</t>
  </si>
  <si>
    <t>kWh / percentage</t>
  </si>
  <si>
    <t>Measures decarbonisation contribution.</t>
  </si>
  <si>
    <t>IMP-022</t>
  </si>
  <si>
    <t>Water consumption and intensity</t>
  </si>
  <si>
    <t>kL + denominator</t>
  </si>
  <si>
    <t>Measures resource performance.</t>
  </si>
  <si>
    <t>IMP-023</t>
  </si>
  <si>
    <t>Waste generation, diversion and disposal</t>
  </si>
  <si>
    <t>Mass / percentage / evidence</t>
  </si>
  <si>
    <t>Measures environmental performance.</t>
  </si>
  <si>
    <t>IMP-024</t>
  </si>
  <si>
    <t>Emissions / fuel loss / spill incidents</t>
  </si>
  <si>
    <t>Quantity, severity, response</t>
  </si>
  <si>
    <t>Supports environmental and filling-station risk control.</t>
  </si>
  <si>
    <t>IMP-025</t>
  </si>
  <si>
    <t>Governance / ethics indicator</t>
  </si>
  <si>
    <t>Target, actual, evidence</t>
  </si>
  <si>
    <t>Measures responsible operation.</t>
  </si>
  <si>
    <t>IMP-026</t>
  </si>
  <si>
    <t>Benefit realisation status</t>
  </si>
  <si>
    <t>On Track / At Risk / Off Track / Achieved</t>
  </si>
  <si>
    <t>IMP-027</t>
  </si>
  <si>
    <t>Unintended outcomes / adverse impact</t>
  </si>
  <si>
    <t>Description, severity, remedy</t>
  </si>
  <si>
    <t>Prevents one-sided impact reporting.</t>
  </si>
  <si>
    <t>IMP-028</t>
  </si>
  <si>
    <t>Continuity / reinvestment / scaling plan</t>
  </si>
  <si>
    <t>Plan + funding + decision</t>
  </si>
  <si>
    <t>Tests long-term impact sustainability.</t>
  </si>
  <si>
    <t>IMP-029</t>
  </si>
  <si>
    <t>Future expansion trigger and capacity</t>
  </si>
  <si>
    <t>Threshold + scope</t>
  </si>
  <si>
    <t>Supports controlled growth.</t>
  </si>
  <si>
    <t>IMP-030</t>
  </si>
  <si>
    <t>Impact and continuity assurance opinion</t>
  </si>
  <si>
    <t>States whether benefits remain measurable, sustainable and aligned.</t>
  </si>
  <si>
    <t>22</t>
  </si>
  <si>
    <t>Shopping-Complex and Retail Development Sector Fields</t>
  </si>
  <si>
    <t>RTL-001</t>
  </si>
  <si>
    <t>Total site-development area</t>
  </si>
  <si>
    <t>M for retail</t>
  </si>
  <si>
    <t>m2 / ha</t>
  </si>
  <si>
    <t>Supports masterplanning and development intensity.</t>
  </si>
  <si>
    <t>RTL-002</t>
  </si>
  <si>
    <t>Total GLA</t>
  </si>
  <si>
    <t>m2</t>
  </si>
  <si>
    <t>Drives leasing, demand and revenue model.</t>
  </si>
  <si>
    <t>RTL-003</t>
  </si>
  <si>
    <t>Anchor GLA and footprint</t>
  </si>
  <si>
    <t>m2 + layout reference</t>
  </si>
  <si>
    <t>Tests anchor requirements and viability.</t>
  </si>
  <si>
    <t>RTL-004</t>
  </si>
  <si>
    <t>Line-shop GLA and unit schedule</t>
  </si>
  <si>
    <t>m2 by unit</t>
  </si>
  <si>
    <t>Supports tenant mix and rent roll.</t>
  </si>
  <si>
    <t>RTL-005</t>
  </si>
  <si>
    <t>QSR / restaurant GLA and seating</t>
  </si>
  <si>
    <t>m2 + seats</t>
  </si>
  <si>
    <t>Supports design, parking and services.</t>
  </si>
  <si>
    <t>RTL-006</t>
  </si>
  <si>
    <t>Forecourt convenience-store GLA</t>
  </si>
  <si>
    <t>Links filling station and retail offer.</t>
  </si>
  <si>
    <t>RTL-007</t>
  </si>
  <si>
    <t>Back-of-house / loading / service-yard areas</t>
  </si>
  <si>
    <t>m2 + layout</t>
  </si>
  <si>
    <t>Tests operational functionality.</t>
  </si>
  <si>
    <t>RTL-008</t>
  </si>
  <si>
    <t>Parking-bay count and ratio</t>
  </si>
  <si>
    <t>Count + bays per 100 m2</t>
  </si>
  <si>
    <t>Tests planning compliance and customer capacity.</t>
  </si>
  <si>
    <t>RTL-009</t>
  </si>
  <si>
    <t>Accessible / family / taxi / loading bays</t>
  </si>
  <si>
    <t>Counts</t>
  </si>
  <si>
    <t>Supports access and mobility requirements.</t>
  </si>
  <si>
    <t>RTL-010</t>
  </si>
  <si>
    <t>Pedestrian, public-transport and traffic interface</t>
  </si>
  <si>
    <t>Design status + evidence</t>
  </si>
  <si>
    <t>Tests safe access and catchment functionality.</t>
  </si>
  <si>
    <t>RTL-011</t>
  </si>
  <si>
    <t>Anchor tenant name and engagement stage</t>
  </si>
  <si>
    <t>Linked tenant + status</t>
  </si>
  <si>
    <t>Tests commercial bankability.</t>
  </si>
  <si>
    <t>RTL-012</t>
  </si>
  <si>
    <t>Anchor specifications and deviations</t>
  </si>
  <si>
    <t>Requirement / response / approval</t>
  </si>
  <si>
    <t>Controls design and lease alignment.</t>
  </si>
  <si>
    <t>RTL-013</t>
  </si>
  <si>
    <t>Tenant pipeline / target list</t>
  </si>
  <si>
    <t>Tenant, category, probability</t>
  </si>
  <si>
    <t>Supports leasing readiness.</t>
  </si>
  <si>
    <t>RTL-014</t>
  </si>
  <si>
    <t>Tenant due-diligence status</t>
  </si>
  <si>
    <t>Tests capacity and integrity.</t>
  </si>
  <si>
    <t>RTL-015</t>
  </si>
  <si>
    <t>LOI / offer / lease status</t>
  </si>
  <si>
    <t>Supports revenue certainty.</t>
  </si>
  <si>
    <t>RTL-016</t>
  </si>
  <si>
    <t>Tenant mix category and exclusivity</t>
  </si>
  <si>
    <t>Category + restrictions</t>
  </si>
  <si>
    <t>Tests complementarity and contractual conflicts.</t>
  </si>
  <si>
    <t>RTL-017</t>
  </si>
  <si>
    <t>Rental rate, escalation and turnover-rent terms</t>
  </si>
  <si>
    <t>Currency / percentage</t>
  </si>
  <si>
    <t>Feeds financial model.</t>
  </si>
  <si>
    <t>RTL-018</t>
  </si>
  <si>
    <t>Lease commencement, term and break options</t>
  </si>
  <si>
    <t>Dates / years</t>
  </si>
  <si>
    <t>Supports revenue timing and risk.</t>
  </si>
  <si>
    <t>RTL-019</t>
  </si>
  <si>
    <t>Vacancy, pre-let and occupancy percentages</t>
  </si>
  <si>
    <t>Tests opening and operating sustainability.</t>
  </si>
  <si>
    <t>RTL-020</t>
  </si>
  <si>
    <t>Fit-out allowance and responsibility</t>
  </si>
  <si>
    <t>Currency + party</t>
  </si>
  <si>
    <t>Controls CAPEX and programme.</t>
  </si>
  <si>
    <t>RTL-021</t>
  </si>
  <si>
    <t>Tenant fit-out readiness / handover status</t>
  </si>
  <si>
    <t>Supports launch readiness.</t>
  </si>
  <si>
    <t>RTL-022</t>
  </si>
  <si>
    <t>Trading licence / health / fire certificate status</t>
  </si>
  <si>
    <t>Controls tenant opening.</t>
  </si>
  <si>
    <t>RTL-023</t>
  </si>
  <si>
    <t>Property-management model</t>
  </si>
  <si>
    <t>In-house / outsourced + contract</t>
  </si>
  <si>
    <t>Supports operations.</t>
  </si>
  <si>
    <t>RTL-024</t>
  </si>
  <si>
    <t>Security, cleaning and parking service levels</t>
  </si>
  <si>
    <t>SLA / KPI</t>
  </si>
  <si>
    <t>Supports customer experience and continuity.</t>
  </si>
  <si>
    <t>RTL-025</t>
  </si>
  <si>
    <t>Retail footfall, sales and occupancy performance</t>
  </si>
  <si>
    <t>Target / actual / trend</t>
  </si>
  <si>
    <t>Measures operational functionality.</t>
  </si>
  <si>
    <t>23</t>
  </si>
  <si>
    <t>Filling-Station, Fuel Retail and Forecourt Sector Fields</t>
  </si>
  <si>
    <t>FUE-001</t>
  </si>
  <si>
    <t>Fuel brand / partner</t>
  </si>
  <si>
    <t>M for fuel</t>
  </si>
  <si>
    <t>Defines standards, supply and commercial alignment.</t>
  </si>
  <si>
    <t>FUE-002</t>
  </si>
  <si>
    <t>Petroleum site-licence status</t>
  </si>
  <si>
    <t>Application / approval / conditions / expiry</t>
  </si>
  <si>
    <t>Controls lawful site development.</t>
  </si>
  <si>
    <t>FUE-003</t>
  </si>
  <si>
    <t>Petroleum retail-licence status</t>
  </si>
  <si>
    <t>Controls lawful retail operation.</t>
  </si>
  <si>
    <t>FUE-004</t>
  </si>
  <si>
    <t>Fuel supply / franchise / branding agreement</t>
  </si>
  <si>
    <t>Contract + status</t>
  </si>
  <si>
    <t>Supports commercial and operating certainty.</t>
  </si>
  <si>
    <t>FUE-005</t>
  </si>
  <si>
    <t>Forecourt layout and circulation</t>
  </si>
  <si>
    <t>Drawing + approval</t>
  </si>
  <si>
    <t>Tests safe vehicle movement and integration.</t>
  </si>
  <si>
    <t>FUE-006</t>
  </si>
  <si>
    <t>Number and type of pump islands / dispensers</t>
  </si>
  <si>
    <t>Count + specification</t>
  </si>
  <si>
    <t>Supports capacity, design and commissioning.</t>
  </si>
  <si>
    <t>FUE-007</t>
  </si>
  <si>
    <t>Fuel grades and products</t>
  </si>
  <si>
    <t>Defines tank, piping and operational requirements.</t>
  </si>
  <si>
    <t>FUE-008</t>
  </si>
  <si>
    <t>Tank ID, type, material and capacity</t>
  </si>
  <si>
    <t>Asset data + litres</t>
  </si>
  <si>
    <t>Supports environmental, stock and maintenance control.</t>
  </si>
  <si>
    <t>FUE-009</t>
  </si>
  <si>
    <t>Tank farm layout and separation distances</t>
  </si>
  <si>
    <t>Drawing + compliance result</t>
  </si>
  <si>
    <t>Tests safety and statutory compliance.</t>
  </si>
  <si>
    <t>FUE-010</t>
  </si>
  <si>
    <t>Tank / line integrity and leak-detection system</t>
  </si>
  <si>
    <t>Specification + test result</t>
  </si>
  <si>
    <t>Protects soil, groundwater and capital.</t>
  </si>
  <si>
    <t>FUE-011</t>
  </si>
  <si>
    <t>Vent, fill point and vapour-control design</t>
  </si>
  <si>
    <t>Design + approval</t>
  </si>
  <si>
    <t>Supports safe operation.</t>
  </si>
  <si>
    <t>FUE-012</t>
  </si>
  <si>
    <t>Hazardous-area classification</t>
  </si>
  <si>
    <t>Zone / drawing / professional approval</t>
  </si>
  <si>
    <t>Controls electrical and fire design.</t>
  </si>
  <si>
    <t>FUE-013</t>
  </si>
  <si>
    <t>Fire protection and emergency shutdown</t>
  </si>
  <si>
    <t>System + test result</t>
  </si>
  <si>
    <t>Controls life safety.</t>
  </si>
  <si>
    <t>FUE-014</t>
  </si>
  <si>
    <t>Spill containment / separator / drainage</t>
  </si>
  <si>
    <t>Design + capacity + inspection</t>
  </si>
  <si>
    <t>Controls environmental risk.</t>
  </si>
  <si>
    <t>FUE-015</t>
  </si>
  <si>
    <t>Groundwater monitoring / baseline</t>
  </si>
  <si>
    <t>Boreholes, results, frequency</t>
  </si>
  <si>
    <t>Supports contamination detection.</t>
  </si>
  <si>
    <t>FUE-016</t>
  </si>
  <si>
    <t>Fuel throughput demand</t>
  </si>
  <si>
    <t>Litres per month by grade</t>
  </si>
  <si>
    <t>Tests market viability and storage capacity.</t>
  </si>
  <si>
    <t>FUE-017</t>
  </si>
  <si>
    <t>Traffic capture and heavy-vehicle demand</t>
  </si>
  <si>
    <t>Counts / percentage</t>
  </si>
  <si>
    <t>Supports access, layout and sales assumptions.</t>
  </si>
  <si>
    <t>FUE-018</t>
  </si>
  <si>
    <t>Fuel margin / dealer margin assumption</t>
  </si>
  <si>
    <t>Currency per litre</t>
  </si>
  <si>
    <t>Feeds financial viability.</t>
  </si>
  <si>
    <t>FUE-019</t>
  </si>
  <si>
    <t>Stock ownership and reconciliation method</t>
  </si>
  <si>
    <t>Party + method</t>
  </si>
  <si>
    <t>Supports capital and leakage control.</t>
  </si>
  <si>
    <t>FUE-020</t>
  </si>
  <si>
    <t>Wet-stock variance / loss tolerance</t>
  </si>
  <si>
    <t>Percentage / litres + threshold</t>
  </si>
  <si>
    <t>Triggers operational and forensic action.</t>
  </si>
  <si>
    <t>FUE-021</t>
  </si>
  <si>
    <t>Delivery schedule and tanker access</t>
  </si>
  <si>
    <t>Frequency + route + controls</t>
  </si>
  <si>
    <t>Tests logistics and safety.</t>
  </si>
  <si>
    <t>FUE-022</t>
  </si>
  <si>
    <t>Supplier quality certificate / delivery evidence</t>
  </si>
  <si>
    <t>Supports product quality and stock control.</t>
  </si>
  <si>
    <t>FUE-023</t>
  </si>
  <si>
    <t>Price display / signage / brand compliance</t>
  </si>
  <si>
    <t>Status + inspection</t>
  </si>
  <si>
    <t>Supports regulatory and brand requirements.</t>
  </si>
  <si>
    <t>FUE-024</t>
  </si>
  <si>
    <t>Pump calibration / legal metrology status</t>
  </si>
  <si>
    <t>Certificate + expiry</t>
  </si>
  <si>
    <t>Controls customer and revenue integrity.</t>
  </si>
  <si>
    <t>FUE-025</t>
  </si>
  <si>
    <t>ATG / POS / payment integration</t>
  </si>
  <si>
    <t>System + test status</t>
  </si>
  <si>
    <t>Supports stock, sales and audit reconciliation.</t>
  </si>
  <si>
    <t>FUE-026</t>
  </si>
  <si>
    <t>Fuel inventory, sales and cash reconciliation</t>
  </si>
  <si>
    <t>Period values + variance</t>
  </si>
  <si>
    <t>Supports anti-leakage and financial integrity.</t>
  </si>
  <si>
    <t>FUE-027</t>
  </si>
  <si>
    <t>Forecourt HSE procedures and training</t>
  </si>
  <si>
    <t>SOP + competence records</t>
  </si>
  <si>
    <t>FUE-028</t>
  </si>
  <si>
    <t>Emergency response, spill and fire drills</t>
  </si>
  <si>
    <t>Date + result + action</t>
  </si>
  <si>
    <t>Tests operational resilience.</t>
  </si>
  <si>
    <t>FUE-029</t>
  </si>
  <si>
    <t>Environmental authorisation / EMPr fuel conditions</t>
  </si>
  <si>
    <t>Condition + compliance evidence</t>
  </si>
  <si>
    <t>Controls environmental obligations.</t>
  </si>
  <si>
    <t>FUE-030</t>
  </si>
  <si>
    <t>Contamination / spill incident record</t>
  </si>
  <si>
    <t>Severity, response, remediation</t>
  </si>
  <si>
    <t>Supports liability and continuity.</t>
  </si>
  <si>
    <t>FUE-031</t>
  </si>
  <si>
    <t>Tank / dispenser maintenance schedule</t>
  </si>
  <si>
    <t>Task + frequency + result</t>
  </si>
  <si>
    <t>Supports integrity and uptime.</t>
  </si>
  <si>
    <t>FUE-032</t>
  </si>
  <si>
    <t>Fuel availability / dispenser uptime</t>
  </si>
  <si>
    <t>Target / actual</t>
  </si>
  <si>
    <t>Measures service performance.</t>
  </si>
  <si>
    <t>FUE-033</t>
  </si>
  <si>
    <t>Convenience-store integration and operating hours</t>
  </si>
  <si>
    <t>Plan + hours</t>
  </si>
  <si>
    <t>Supports commercial and operating model.</t>
  </si>
  <si>
    <t>FUE-034</t>
  </si>
  <si>
    <t>Fuel-sector assurance opinion</t>
  </si>
  <si>
    <t>States whether licensing, safety, environmental, commercial and integrity controls are adequate.</t>
  </si>
  <si>
    <t>24</t>
  </si>
  <si>
    <t>Reporting, Audit, Security, Access and Integration</t>
  </si>
  <si>
    <t>RPT-001</t>
  </si>
  <si>
    <t>Report / dashboard ID and type</t>
  </si>
  <si>
    <t>Identifier + controlled catalogue</t>
  </si>
  <si>
    <t>Links outputs to authoritative data and intended users.</t>
  </si>
  <si>
    <t>RPT-002</t>
  </si>
  <si>
    <t>Report audience and purpose</t>
  </si>
  <si>
    <t>Board / Funder / Assessor / Auditor / Operator / Authority</t>
  </si>
  <si>
    <t>Controls content, detail and classification.</t>
  </si>
  <si>
    <t>RPT-003</t>
  </si>
  <si>
    <t>Source-data snapshot ID</t>
  </si>
  <si>
    <t>Immutable reference</t>
  </si>
  <si>
    <t>Reproduces every issued output.</t>
  </si>
  <si>
    <t>RPT-004</t>
  </si>
  <si>
    <t>Framework / template version</t>
  </si>
  <si>
    <t>Linked versions</t>
  </si>
  <si>
    <t>Prevents inconsistent outputs.</t>
  </si>
  <si>
    <t>RPT-005</t>
  </si>
  <si>
    <t>Report period / as-of date</t>
  </si>
  <si>
    <t>Discloses freshness.</t>
  </si>
  <si>
    <t>RPT-006</t>
  </si>
  <si>
    <t>Data-freshness and evidence-status disclosure</t>
  </si>
  <si>
    <t>Structured statement</t>
  </si>
  <si>
    <t>Prevents stale or unverified information being mistaken for fact.</t>
  </si>
  <si>
    <t>RPT-007</t>
  </si>
  <si>
    <t>Report reviewer / approver</t>
  </si>
  <si>
    <t>Linked persons</t>
  </si>
  <si>
    <t>Provides maker-checker control.</t>
  </si>
  <si>
    <t>RPT-008</t>
  </si>
  <si>
    <t>Publication status and date</t>
  </si>
  <si>
    <t>Draft / Approved / Issued / Withdrawn</t>
  </si>
  <si>
    <t>Controls external use.</t>
  </si>
  <si>
    <t>RPT-009</t>
  </si>
  <si>
    <t>Classification and distribution list</t>
  </si>
  <si>
    <t>Security fields</t>
  </si>
  <si>
    <t>Prevents unauthorised disclosure.</t>
  </si>
  <si>
    <t>RPT-010</t>
  </si>
  <si>
    <t>RAG heat-map values</t>
  </si>
  <si>
    <t>Domain / stage / gate status</t>
  </si>
  <si>
    <t>Supports executive decision support.</t>
  </si>
  <si>
    <t>RPT-011</t>
  </si>
  <si>
    <t>Outstanding-condition register link</t>
  </si>
  <si>
    <t>Linked report</t>
  </si>
  <si>
    <t>Shows conditions, owners, deadlines and escalation.</t>
  </si>
  <si>
    <t>RPT-012</t>
  </si>
  <si>
    <t>Trend / comparison period</t>
  </si>
  <si>
    <t>Prior result + delta</t>
  </si>
  <si>
    <t>Supports monitoring.</t>
  </si>
  <si>
    <t>RPT-013</t>
  </si>
  <si>
    <t>Audit-event ID</t>
  </si>
  <si>
    <t>Records actor, action, object and time.</t>
  </si>
  <si>
    <t>RPT-014</t>
  </si>
  <si>
    <t>Before / after values and reason</t>
  </si>
  <si>
    <t>Structured audit data</t>
  </si>
  <si>
    <t>Supports accountability and investigations.</t>
  </si>
  <si>
    <t>RPT-015</t>
  </si>
  <si>
    <t>Override / exception record</t>
  </si>
  <si>
    <t>Decision, authority, rationale, validity</t>
  </si>
  <si>
    <t>Prevents silent bypass.</t>
  </si>
  <si>
    <t>RPT-016</t>
  </si>
  <si>
    <t>Legal hold / investigation case</t>
  </si>
  <si>
    <t>Case + custody + retention</t>
  </si>
  <si>
    <t>Supports forensic preservation.</t>
  </si>
  <si>
    <t>RPT-017</t>
  </si>
  <si>
    <t>User / role / organisation</t>
  </si>
  <si>
    <t>Identity fields</t>
  </si>
  <si>
    <t>Supports role-based access.</t>
  </si>
  <si>
    <t>RPT-018</t>
  </si>
  <si>
    <t>Access scope and privileges</t>
  </si>
  <si>
    <t>Project / framework / field / action</t>
  </si>
  <si>
    <t>Enforces least privilege.</t>
  </si>
  <si>
    <t>RPT-019</t>
  </si>
  <si>
    <t>Segregation-of-duties result</t>
  </si>
  <si>
    <t>Pass / Conflict / Approved mitigation</t>
  </si>
  <si>
    <t>Prevents self-approval and incompatible duties.</t>
  </si>
  <si>
    <t>RPT-020</t>
  </si>
  <si>
    <t>External data-room release</t>
  </si>
  <si>
    <t>Evidence set, expiry, recipient</t>
  </si>
  <si>
    <t>Controls restricted review.</t>
  </si>
  <si>
    <t>RPT-021</t>
  </si>
  <si>
    <t>Consent / privacy restriction</t>
  </si>
  <si>
    <t>Rule + status</t>
  </si>
  <si>
    <t>Protects lawful personal-data use.</t>
  </si>
  <si>
    <t>RPT-022</t>
  </si>
  <si>
    <t>Integration source / endpoint / schema</t>
  </si>
  <si>
    <t>Technical metadata</t>
  </si>
  <si>
    <t>Supports controlled exchange.</t>
  </si>
  <si>
    <t>RPT-023</t>
  </si>
  <si>
    <t>Import / sync execution and reconciliation</t>
  </si>
  <si>
    <t>Status, errors, totals</t>
  </si>
  <si>
    <t>Prevents silent overwrites and duplicates.</t>
  </si>
  <si>
    <t>RPT-024</t>
  </si>
  <si>
    <t>API / export package version</t>
  </si>
  <si>
    <t>Version + checksum</t>
  </si>
  <si>
    <t>Supports portability and traceability.</t>
  </si>
  <si>
    <t>RPT-025</t>
  </si>
  <si>
    <t>Backup / restoration / continuity status</t>
  </si>
  <si>
    <t>Date + result</t>
  </si>
  <si>
    <t>Supports system and evidence resilience.</t>
  </si>
  <si>
    <t>25</t>
  </si>
  <si>
    <t>Reusable Fields for Every Stage / Work Package</t>
  </si>
  <si>
    <t>STC-001</t>
  </si>
  <si>
    <t>Stage record ID</t>
  </si>
  <si>
    <t>Creates a controlled stage assessment record.</t>
  </si>
  <si>
    <t>STC-002</t>
  </si>
  <si>
    <t>Stage number and name</t>
  </si>
  <si>
    <t>01-37 + controlled name</t>
  </si>
  <si>
    <t>Maps directly to the source question bank.</t>
  </si>
  <si>
    <t>STC-003</t>
  </si>
  <si>
    <t>Stage focus-item applicability</t>
  </si>
  <si>
    <t>Mandatory / Conditional / N/A</t>
  </si>
  <si>
    <t>Activates only relevant focus fields.</t>
  </si>
  <si>
    <t>STC-004</t>
  </si>
  <si>
    <t>Stage responsible owner</t>
  </si>
  <si>
    <t>Linked role / organisation</t>
  </si>
  <si>
    <t>STC-005</t>
  </si>
  <si>
    <t>Supports schedule and delay analysis.</t>
  </si>
  <si>
    <t>STC-006</t>
  </si>
  <si>
    <t>Stage required deliverables</t>
  </si>
  <si>
    <t>Linked deliverables</t>
  </si>
  <si>
    <t>Defines the expected outputs.</t>
  </si>
  <si>
    <t>STC-007</t>
  </si>
  <si>
    <t>Stage evidence pack</t>
  </si>
  <si>
    <t>Linked accepted evidence</t>
  </si>
  <si>
    <t>Provides the basis for readiness and assurance.</t>
  </si>
  <si>
    <t>STC-008</t>
  </si>
  <si>
    <t>Stage question completion</t>
  </si>
  <si>
    <t>Completed / applicable questions</t>
  </si>
  <si>
    <t>Measures progress through the 100-question stage set.</t>
  </si>
  <si>
    <t>STC-009</t>
  </si>
  <si>
    <t>Measures accepted proof against requirements.</t>
  </si>
  <si>
    <t>STC-010</t>
  </si>
  <si>
    <t>Stage score / RAG</t>
  </si>
  <si>
    <t>0-100 + Red/Amber/Green</t>
  </si>
  <si>
    <t>Summarises the stage without concealing critical failures.</t>
  </si>
  <si>
    <t>STC-011</t>
  </si>
  <si>
    <t>Stage critical / fatal-flaw status</t>
  </si>
  <si>
    <t>Controls hard-gate restrictions.</t>
  </si>
  <si>
    <t>STC-012</t>
  </si>
  <si>
    <t>Stage open findings and overdue actions</t>
  </si>
  <si>
    <t>Counts + links</t>
  </si>
  <si>
    <t>Shows unresolved weaknesses.</t>
  </si>
  <si>
    <t>STC-013</t>
  </si>
  <si>
    <t>Stage decision recommendation</t>
  </si>
  <si>
    <t>Proceed / Condition / Hold / Revise / Stop</t>
  </si>
  <si>
    <t>Supports the applicable executive gate.</t>
  </si>
  <si>
    <t>STC-014</t>
  </si>
  <si>
    <t>Stage assurance opinion and limitations</t>
  </si>
  <si>
    <t>Narrative + validity</t>
  </si>
  <si>
    <t>States the point-in-time conclusion.</t>
  </si>
  <si>
    <t>STC-015</t>
  </si>
  <si>
    <t>Stage reassessment trigger</t>
  </si>
  <si>
    <t>Expiry / change / incident / dependency</t>
  </si>
  <si>
    <t>26</t>
  </si>
  <si>
    <t>WP01 - Strategic Inception and Project Mandate</t>
  </si>
  <si>
    <t>Stage-Specific Work-Package Fields</t>
  </si>
  <si>
    <t>WP01</t>
  </si>
  <si>
    <t>Strategic Inception and Project Mandate</t>
  </si>
  <si>
    <t>WP01-01</t>
  </si>
  <si>
    <t>Project Vision</t>
  </si>
  <si>
    <t>Structured value + evidence + status</t>
  </si>
  <si>
    <t>Captures the controlled project vision data for Stage 01 (Strategic Inception and Project Mandate); link source, owner, status, evidence, risk and decision impact.</t>
  </si>
  <si>
    <t>WP01-02</t>
  </si>
  <si>
    <t>Scope Mandate</t>
  </si>
  <si>
    <t>Captures the controlled scope mandate data for Stage 01 (Strategic Inception and Project Mandate); link source, owner, status, evidence, risk and decision impact.</t>
  </si>
  <si>
    <t>WP01-03</t>
  </si>
  <si>
    <t>Decision Authority</t>
  </si>
  <si>
    <t>Linked party / engagement / due-diligence status</t>
  </si>
  <si>
    <t>Captures the controlled decision authority data for Stage 01 (Strategic Inception and Project Mandate); link source, owner, status, evidence, risk and decision impact.</t>
  </si>
  <si>
    <t>WP01-04</t>
  </si>
  <si>
    <t>Developer Appointment</t>
  </si>
  <si>
    <t>Captures the controlled developer appointment data for Stage 01 (Strategic Inception and Project Mandate); link source, owner, status, evidence, risk and decision impact.</t>
  </si>
  <si>
    <t>WP01-05</t>
  </si>
  <si>
    <t>Client Objectives</t>
  </si>
  <si>
    <t>Captures the controlled client objectives data for Stage 01 (Strategic Inception and Project Mandate); link source, owner, status, evidence, risk and decision impact.</t>
  </si>
  <si>
    <t>WP01-06</t>
  </si>
  <si>
    <t>Governance Structure</t>
  </si>
  <si>
    <t>Captures the controlled governance structure data for Stage 01 (Strategic Inception and Project Mandate); link source, owner, status, evidence, risk and decision impact.</t>
  </si>
  <si>
    <t>WP02 - Site Identification and Opportunity Discovery</t>
  </si>
  <si>
    <t>WP02</t>
  </si>
  <si>
    <t>Site Identification and Opportunity Discovery</t>
  </si>
  <si>
    <t>WP02-01</t>
  </si>
  <si>
    <t>R567 Exposure</t>
  </si>
  <si>
    <t>Captures the controlled r567 exposure data for Stage 02 (Site Identification and Opportunity Discovery); link source, owner, status, evidence, risk and decision impact.</t>
  </si>
  <si>
    <t>WP02-02</t>
  </si>
  <si>
    <t>3 Ha Site Extent</t>
  </si>
  <si>
    <t>Numeric / percentage / currency with unit and period</t>
  </si>
  <si>
    <t>Captures the controlled 3 ha site extent data for Stage 02 (Site Identification and Opportunity Discovery); link source, owner, status, evidence, risk and decision impact.</t>
  </si>
  <si>
    <t>WP02-03</t>
  </si>
  <si>
    <t>Market Gap</t>
  </si>
  <si>
    <t>Captures the controlled market gap data for Stage 02 (Site Identification and Opportunity Discovery); link source, owner, status, evidence, risk and decision impact.</t>
  </si>
  <si>
    <t>WP02-04</t>
  </si>
  <si>
    <t>Community Catchment</t>
  </si>
  <si>
    <t>Captures the controlled community catchment data for Stage 02 (Site Identification and Opportunity Discovery); link source, owner, status, evidence, risk and decision impact.</t>
  </si>
  <si>
    <t>WP02-05</t>
  </si>
  <si>
    <t>Mobility Flows</t>
  </si>
  <si>
    <t>Captures the controlled mobility flows data for Stage 02 (Site Identification and Opportunity Discovery); link source, owner, status, evidence, risk and decision impact.</t>
  </si>
  <si>
    <t>WP02-06</t>
  </si>
  <si>
    <t>Competitive Landscape</t>
  </si>
  <si>
    <t>Captures the controlled competitive landscape data for Stage 02 (Site Identification and Opportunity Discovery); link source, owner, status, evidence, risk and decision impact.</t>
  </si>
  <si>
    <t>WP03 - Preliminary Site Screening</t>
  </si>
  <si>
    <t>WP03</t>
  </si>
  <si>
    <t>Preliminary Site Screening</t>
  </si>
  <si>
    <t>WP03-01</t>
  </si>
  <si>
    <t>Ownership Confirmation</t>
  </si>
  <si>
    <t>Captures the controlled ownership confirmation data for Stage 03 (Preliminary Site Screening); link source, owner, status, evidence, risk and decision impact.</t>
  </si>
  <si>
    <t>WP03-02</t>
  </si>
  <si>
    <t>Servitudes</t>
  </si>
  <si>
    <t>Captures the controlled servitudes data for Stage 03 (Preliminary Site Screening); link source, owner, status, evidence, risk and decision impact.</t>
  </si>
  <si>
    <t>WP03-03</t>
  </si>
  <si>
    <t>Basic Zoning Position</t>
  </si>
  <si>
    <t>Status + authority/reference + dates/conditions</t>
  </si>
  <si>
    <t>Captures the controlled basic zoning position data for Stage 03 (Preliminary Site Screening); link source, owner, status, evidence, risk and decision impact.</t>
  </si>
  <si>
    <t>WP03-04</t>
  </si>
  <si>
    <t>Environmental Sensitivity</t>
  </si>
  <si>
    <t>Captures the controlled environmental sensitivity data for Stage 03 (Preliminary Site Screening); link source, owner, status, evidence, risk and decision impact.</t>
  </si>
  <si>
    <t>WP03-05</t>
  </si>
  <si>
    <t>Access Constraints</t>
  </si>
  <si>
    <t>Captures the controlled access constraints data for Stage 03 (Preliminary Site Screening); link source, owner, status, evidence, risk and decision impact.</t>
  </si>
  <si>
    <t>WP03-06</t>
  </si>
  <si>
    <t>Bulk Services Proximity</t>
  </si>
  <si>
    <t>Captures the controlled bulk services proximity data for Stage 03 (Preliminary Site Screening); link source, owner, status, evidence, risk and decision impact.</t>
  </si>
  <si>
    <t>WP04 - Sponsor and Entity Readiness</t>
  </si>
  <si>
    <t>WP04</t>
  </si>
  <si>
    <t>Sponsor and Entity Readiness</t>
  </si>
  <si>
    <t>WP04-01</t>
  </si>
  <si>
    <t>Client Capacity</t>
  </si>
  <si>
    <t>Captures the controlled client capacity data for Stage 04 (Sponsor and Entity Readiness); link source, owner, status, evidence, risk and decision impact.</t>
  </si>
  <si>
    <t>WP04-02</t>
  </si>
  <si>
    <t>Corporate Documentation</t>
  </si>
  <si>
    <t>Document / version / review and approval status</t>
  </si>
  <si>
    <t>Captures the controlled corporate documentation data for Stage 04 (Sponsor and Entity Readiness); link source, owner, status, evidence, risk and decision impact.</t>
  </si>
  <si>
    <t>WP04-03</t>
  </si>
  <si>
    <t>Tax Status</t>
  </si>
  <si>
    <t>Captures the controlled tax status data for Stage 04 (Sponsor and Entity Readiness); link source, owner, status, evidence, risk and decision impact.</t>
  </si>
  <si>
    <t>WP04-04</t>
  </si>
  <si>
    <t>Decision-Making Mandate</t>
  </si>
  <si>
    <t>Captures the controlled decision-making mandate data for Stage 04 (Sponsor and Entity Readiness); link source, owner, status, evidence, risk and decision impact.</t>
  </si>
  <si>
    <t>WP04-05</t>
  </si>
  <si>
    <t>Funding Preparedness</t>
  </si>
  <si>
    <t>Captures the controlled funding preparedness data for Stage 04 (Sponsor and Entity Readiness); link source, owner, status, evidence, risk and decision impact.</t>
  </si>
  <si>
    <t>WP04-06</t>
  </si>
  <si>
    <t>Legal Authority</t>
  </si>
  <si>
    <t>Captures the controlled legal authority data for Stage 04 (Sponsor and Entity Readiness); link source, owner, status, evidence, risk and decision impact.</t>
  </si>
  <si>
    <t>WP05 - Land Security and Site Control</t>
  </si>
  <si>
    <t>WP05</t>
  </si>
  <si>
    <t>Land Security and Site Control</t>
  </si>
  <si>
    <t>WP05-01</t>
  </si>
  <si>
    <t>Title Deed</t>
  </si>
  <si>
    <t>Captures the controlled title deed data for Stage 05 (Land Security and Site Control); link source, owner, status, evidence, risk and decision impact.</t>
  </si>
  <si>
    <t>WP05-02</t>
  </si>
  <si>
    <t>Landowner Consent</t>
  </si>
  <si>
    <t>Captures the controlled landowner consent data for Stage 05 (Land Security and Site Control); link source, owner, status, evidence, risk and decision impact.</t>
  </si>
  <si>
    <t>WP05-03</t>
  </si>
  <si>
    <t>Lease Or Purchase Rights</t>
  </si>
  <si>
    <t>Captures the controlled lease or purchase rights data for Stage 05 (Land Security and Site Control); link source, owner, status, evidence, risk and decision impact.</t>
  </si>
  <si>
    <t>WP05-04</t>
  </si>
  <si>
    <t>Site Boundaries</t>
  </si>
  <si>
    <t>Captures the controlled site boundaries data for Stage 05 (Land Security and Site Control); link source, owner, status, evidence, risk and decision impact.</t>
  </si>
  <si>
    <t>WP05-05</t>
  </si>
  <si>
    <t>Sg Diagram</t>
  </si>
  <si>
    <t>Captures the controlled sg diagram data for Stage 05 (Land Security and Site Control); link source, owner, status, evidence, risk and decision impact.</t>
  </si>
  <si>
    <t>WP05-06</t>
  </si>
  <si>
    <t>Wayleaves</t>
  </si>
  <si>
    <t>Captures the controlled wayleaves data for Stage 05 (Land Security and Site Control); link source, owner, status, evidence, risk and decision impact.</t>
  </si>
  <si>
    <t>WP06 - Feasibility Studies and Market Demand</t>
  </si>
  <si>
    <t>WP06</t>
  </si>
  <si>
    <t>Feasibility Studies and Market Demand</t>
  </si>
  <si>
    <t>WP06-01</t>
  </si>
  <si>
    <t>Retail Demand</t>
  </si>
  <si>
    <t>Captures the controlled retail demand data for Stage 06 (Feasibility Studies and Market Demand); link source, owner, status, evidence, risk and decision impact.</t>
  </si>
  <si>
    <t>WP06-02</t>
  </si>
  <si>
    <t>Fuel Demand</t>
  </si>
  <si>
    <t>Captures the controlled fuel demand data for Stage 06 (Feasibility Studies and Market Demand); link source, owner, status, evidence, risk and decision impact.</t>
  </si>
  <si>
    <t>WP06-03</t>
  </si>
  <si>
    <t>Boxer Anchor Viability</t>
  </si>
  <si>
    <t>Captures the controlled boxer anchor viability data for Stage 06 (Feasibility Studies and Market Demand); link source, owner, status, evidence, risk and decision impact.</t>
  </si>
  <si>
    <t>WP06-04</t>
  </si>
  <si>
    <t>Line-Shop Demand</t>
  </si>
  <si>
    <t>Captures the controlled line-shop demand data for Stage 06 (Feasibility Studies and Market Demand); link source, owner, status, evidence, risk and decision impact.</t>
  </si>
  <si>
    <t>WP06-05</t>
  </si>
  <si>
    <t>Fast-Food Demand</t>
  </si>
  <si>
    <t>Captures the controlled fast-food demand data for Stage 06 (Feasibility Studies and Market Demand); link source, owner, status, evidence, risk and decision impact.</t>
  </si>
  <si>
    <t>WP06-06</t>
  </si>
  <si>
    <t>Traffic Volumes</t>
  </si>
  <si>
    <t>Captures the controlled traffic volumes data for Stage 06 (Feasibility Studies and Market Demand); link source, owner, status, evidence, risk and decision impact.</t>
  </si>
  <si>
    <t>WP07 - Traffic, Access and Mobility Feasibility</t>
  </si>
  <si>
    <t>WP07</t>
  </si>
  <si>
    <t>Traffic, Access and Mobility Feasibility</t>
  </si>
  <si>
    <t>WP07-01</t>
  </si>
  <si>
    <t>R567 Entrance</t>
  </si>
  <si>
    <t>Captures the controlled r567 entrance data for Stage 07 (Traffic, Access and Mobility Feasibility); link source, owner, status, evidence, risk and decision impact.</t>
  </si>
  <si>
    <t>WP07-02</t>
  </si>
  <si>
    <t>Turning Lanes</t>
  </si>
  <si>
    <t>Captures the controlled turning lanes data for Stage 07 (Traffic, Access and Mobility Feasibility); link source, owner, status, evidence, risk and decision impact.</t>
  </si>
  <si>
    <t>WP07-03</t>
  </si>
  <si>
    <t>Sight Distances</t>
  </si>
  <si>
    <t>Captures the controlled sight distances data for Stage 07 (Traffic, Access and Mobility Feasibility); link source, owner, status, evidence, risk and decision impact.</t>
  </si>
  <si>
    <t>WP07-04</t>
  </si>
  <si>
    <t>Heavy Vehicle Movement</t>
  </si>
  <si>
    <t>Captures the controlled heavy vehicle movement data for Stage 07 (Traffic, Access and Mobility Feasibility); link source, owner, status, evidence, risk and decision impact.</t>
  </si>
  <si>
    <t>WP07-05</t>
  </si>
  <si>
    <t>Pedestrian Safety</t>
  </si>
  <si>
    <t>Captures the controlled pedestrian safety data for Stage 07 (Traffic, Access and Mobility Feasibility); link source, owner, status, evidence, risk and decision impact.</t>
  </si>
  <si>
    <t>WP07-06</t>
  </si>
  <si>
    <t>Public Transport Interface</t>
  </si>
  <si>
    <t>Captures the controlled public transport interface data for Stage 07 (Traffic, Access and Mobility Feasibility); link source, owner, status, evidence, risk and decision impact.</t>
  </si>
  <si>
    <t>WP08 - Bulk Services and Infrastructure Feasibility</t>
  </si>
  <si>
    <t>WP08</t>
  </si>
  <si>
    <t>Bulk Services and Infrastructure Feasibility</t>
  </si>
  <si>
    <t>WP08-01</t>
  </si>
  <si>
    <t>Water Supply</t>
  </si>
  <si>
    <t>Captures the controlled water supply data for Stage 08 (Bulk Services and Infrastructure Feasibility); link source, owner, status, evidence, risk and decision impact.</t>
  </si>
  <si>
    <t>WP08-02</t>
  </si>
  <si>
    <t>Sewer Capacity</t>
  </si>
  <si>
    <t>Captures the controlled sewer capacity data for Stage 08 (Bulk Services and Infrastructure Feasibility); link source, owner, status, evidence, risk and decision impact.</t>
  </si>
  <si>
    <t>WP08-03</t>
  </si>
  <si>
    <t>Stormwater Discharge</t>
  </si>
  <si>
    <t>Captures the controlled stormwater discharge data for Stage 08 (Bulk Services and Infrastructure Feasibility); link source, owner, status, evidence, risk and decision impact.</t>
  </si>
  <si>
    <t>WP08-04</t>
  </si>
  <si>
    <t>Electrical Capacity</t>
  </si>
  <si>
    <t>Captures the controlled electrical capacity data for Stage 08 (Bulk Services and Infrastructure Feasibility); link source, owner, status, evidence, risk and decision impact.</t>
  </si>
  <si>
    <t>WP08-05</t>
  </si>
  <si>
    <t>Fire Water</t>
  </si>
  <si>
    <t>Captures the controlled fire water data for Stage 08 (Bulk Services and Infrastructure Feasibility); link source, owner, status, evidence, risk and decision impact.</t>
  </si>
  <si>
    <t>WP08-06</t>
  </si>
  <si>
    <t>Ict Services</t>
  </si>
  <si>
    <t>Captures the controlled ict services data for Stage 08 (Bulk Services and Infrastructure Feasibility); link source, owner, status, evidence, risk and decision impact.</t>
  </si>
  <si>
    <t>WP09 - Environmental Screening and Scoping</t>
  </si>
  <si>
    <t>WP09</t>
  </si>
  <si>
    <t>Environmental Screening and Scoping</t>
  </si>
  <si>
    <t>WP09-01</t>
  </si>
  <si>
    <t>Nema Triggers</t>
  </si>
  <si>
    <t>Captures the controlled nema triggers data for Stage 09 (Environmental Screening and Scoping); link source, owner, status, evidence, risk and decision impact.</t>
  </si>
  <si>
    <t>WP09-02</t>
  </si>
  <si>
    <t>Wetland Sensitivity</t>
  </si>
  <si>
    <t>Captures the controlled wetland sensitivity data for Stage 09 (Environmental Screening and Scoping); link source, owner, status, evidence, risk and decision impact.</t>
  </si>
  <si>
    <t>WP09-03</t>
  </si>
  <si>
    <t>Biodiversity Risk</t>
  </si>
  <si>
    <t>Captures the controlled biodiversity risk data for Stage 09 (Environmental Screening and Scoping); link source, owner, status, evidence, risk and decision impact.</t>
  </si>
  <si>
    <t>WP09-04</t>
  </si>
  <si>
    <t>Heritage Risk</t>
  </si>
  <si>
    <t>Captures the controlled heritage risk data for Stage 09 (Environmental Screening and Scoping); link source, owner, status, evidence, risk and decision impact.</t>
  </si>
  <si>
    <t>WP09-05</t>
  </si>
  <si>
    <t>Groundwater Risk</t>
  </si>
  <si>
    <t>Captures the controlled groundwater risk data for Stage 09 (Environmental Screening and Scoping); link source, owner, status, evidence, risk and decision impact.</t>
  </si>
  <si>
    <t>WP09-06</t>
  </si>
  <si>
    <t>Noise Sources</t>
  </si>
  <si>
    <t>Captures the controlled noise sources data for Stage 09 (Environmental Screening and Scoping); link source, owner, status, evidence, risk and decision impact.</t>
  </si>
  <si>
    <t>WP10 - Land Use Rights and Zoning</t>
  </si>
  <si>
    <t>WP10</t>
  </si>
  <si>
    <t>Land Use Rights and Zoning</t>
  </si>
  <si>
    <t>WP10-01</t>
  </si>
  <si>
    <t>Current Agricultural Zoning</t>
  </si>
  <si>
    <t>Captures the controlled current agricultural zoning data for Stage 10 (Land Use Rights and Zoning); link source, owner, status, evidence, risk and decision impact.</t>
  </si>
  <si>
    <t>WP10-02</t>
  </si>
  <si>
    <t>Rezoning Pathway</t>
  </si>
  <si>
    <t>Captures the controlled rezoning pathway data for Stage 10 (Land Use Rights and Zoning); link source, owner, status, evidence, risk and decision impact.</t>
  </si>
  <si>
    <t>WP10-03</t>
  </si>
  <si>
    <t>Consent Use</t>
  </si>
  <si>
    <t>Captures the controlled consent use data for Stage 10 (Land Use Rights and Zoning); link source, owner, status, evidence, risk and decision impact.</t>
  </si>
  <si>
    <t>WP10-04</t>
  </si>
  <si>
    <t>Site Development Plan</t>
  </si>
  <si>
    <t>Captures the controlled site development plan data for Stage 10 (Land Use Rights and Zoning); link source, owner, status, evidence, risk and decision impact.</t>
  </si>
  <si>
    <t>WP10-05</t>
  </si>
  <si>
    <t>Parking Compliance</t>
  </si>
  <si>
    <t>Captures the controlled parking compliance data for Stage 10 (Land Use Rights and Zoning); link source, owner, status, evidence, risk and decision impact.</t>
  </si>
  <si>
    <t>WP10-06</t>
  </si>
  <si>
    <t>Far And Coverage</t>
  </si>
  <si>
    <t>Captures the controlled far and coverage data for Stage 10 (Land Use Rights and Zoning); link source, owner, status, evidence, risk and decision impact.</t>
  </si>
  <si>
    <t>WP11 - Environmental Authorisation - Estimated 10 Months</t>
  </si>
  <si>
    <t>WP11</t>
  </si>
  <si>
    <t>Environmental Authorisation - Estimated 10 Months</t>
  </si>
  <si>
    <t>WP11-01</t>
  </si>
  <si>
    <t>Screening Report</t>
  </si>
  <si>
    <t>Captures the controlled screening report data for Stage 11 (Environmental Authorisation - Estimated 10 Months); link source, owner, status, evidence, risk and decision impact.</t>
  </si>
  <si>
    <t>WP11-02</t>
  </si>
  <si>
    <t>Specialist Studies</t>
  </si>
  <si>
    <t>Captures the controlled specialist studies data for Stage 11 (Environmental Authorisation - Estimated 10 Months); link source, owner, status, evidence, risk and decision impact.</t>
  </si>
  <si>
    <t>WP11-03</t>
  </si>
  <si>
    <t>Draft Bar Or Eia</t>
  </si>
  <si>
    <t>Captures the controlled draft bar or eia data for Stage 11 (Environmental Authorisation - Estimated 10 Months); link source, owner, status, evidence, risk and decision impact.</t>
  </si>
  <si>
    <t>WP11-04</t>
  </si>
  <si>
    <t>Public Participation</t>
  </si>
  <si>
    <t>Captures the controlled public participation data for Stage 11 (Environmental Authorisation - Estimated 10 Months); link source, owner, status, evidence, risk and decision impact.</t>
  </si>
  <si>
    <t>WP11-05</t>
  </si>
  <si>
    <t>Authority Comments</t>
  </si>
  <si>
    <t>Captures the controlled authority comments data for Stage 11 (Environmental Authorisation - Estimated 10 Months); link source, owner, status, evidence, risk and decision impact.</t>
  </si>
  <si>
    <t>WP11-06</t>
  </si>
  <si>
    <t>Empr</t>
  </si>
  <si>
    <t>Captures the controlled empr data for Stage 11 (Environmental Authorisation - Estimated 10 Months); link source, owner, status, evidence, risk and decision impact.</t>
  </si>
  <si>
    <t>WP12 - Stakeholder Mapping and Public Participation</t>
  </si>
  <si>
    <t>WP12</t>
  </si>
  <si>
    <t>Stakeholder Mapping and Public Participation</t>
  </si>
  <si>
    <t>WP12-01</t>
  </si>
  <si>
    <t>Municipality</t>
  </si>
  <si>
    <t>Captures the controlled municipality data for Stage 12 (Stakeholder Mapping and Public Participation); link source, owner, status, evidence, risk and decision impact.</t>
  </si>
  <si>
    <t>WP12-02</t>
  </si>
  <si>
    <t>Road Authority</t>
  </si>
  <si>
    <t>Captures the controlled road authority data for Stage 12 (Stakeholder Mapping and Public Participation); link source, owner, status, evidence, risk and decision impact.</t>
  </si>
  <si>
    <t>WP12-03</t>
  </si>
  <si>
    <t>Dmre</t>
  </si>
  <si>
    <t>Captures the controlled dmre data for Stage 12 (Stakeholder Mapping and Public Participation); link source, owner, status, evidence, risk and decision impact.</t>
  </si>
  <si>
    <t>WP12-04</t>
  </si>
  <si>
    <t>Environmental Authority</t>
  </si>
  <si>
    <t>Captures the controlled environmental authority data for Stage 12 (Stakeholder Mapping and Public Participation); link source, owner, status, evidence, risk and decision impact.</t>
  </si>
  <si>
    <t>WP12-05</t>
  </si>
  <si>
    <t>Community Leaders</t>
  </si>
  <si>
    <t>Captures the controlled community leaders data for Stage 12 (Stakeholder Mapping and Public Participation); link source, owner, status, evidence, risk and decision impact.</t>
  </si>
  <si>
    <t>WP12-06</t>
  </si>
  <si>
    <t>Neighbouring Landowners</t>
  </si>
  <si>
    <t>Captures the controlled neighbouring landowners data for Stage 12 (Stakeholder Mapping and Public Participation); link source, owner, status, evidence, risk and decision impact.</t>
  </si>
  <si>
    <t>WP13 - Concept Development</t>
  </si>
  <si>
    <t>WP13</t>
  </si>
  <si>
    <t>Concept Development</t>
  </si>
  <si>
    <t>WP13-01</t>
  </si>
  <si>
    <t>Site Layout</t>
  </si>
  <si>
    <t>Captures the controlled site layout data for Stage 13 (Concept Development); link source, owner, status, evidence, risk and decision impact.</t>
  </si>
  <si>
    <t>WP13-02</t>
  </si>
  <si>
    <t>Boxer Store Placement</t>
  </si>
  <si>
    <t>Captures the controlled boxer store placement data for Stage 13 (Concept Development); link source, owner, status, evidence, risk and decision impact.</t>
  </si>
  <si>
    <t>WP13-03</t>
  </si>
  <si>
    <t>Fuel Forecourt Interface</t>
  </si>
  <si>
    <t>Captures the controlled fuel forecourt interface data for Stage 13 (Concept Development); link source, owner, status, evidence, risk and decision impact.</t>
  </si>
  <si>
    <t>WP13-04</t>
  </si>
  <si>
    <t>Line-Shop Frontage</t>
  </si>
  <si>
    <t>Captures the controlled line-shop frontage data for Stage 13 (Concept Development); link source, owner, status, evidence, risk and decision impact.</t>
  </si>
  <si>
    <t>WP13-05</t>
  </si>
  <si>
    <t>Qsr Positioning</t>
  </si>
  <si>
    <t>Captures the controlled qsr positioning data for Stage 13 (Concept Development); link source, owner, status, evidence, risk and decision impact.</t>
  </si>
  <si>
    <t>WP13-06</t>
  </si>
  <si>
    <t>Parking Concept</t>
  </si>
  <si>
    <t>Captures the controlled parking concept data for Stage 13 (Concept Development); link source, owner, status, evidence, risk and decision impact.</t>
  </si>
  <si>
    <t>WP14 - Retail Masterplanning and GLA Strategy</t>
  </si>
  <si>
    <t>WP14</t>
  </si>
  <si>
    <t>Retail Masterplanning and GLA Strategy</t>
  </si>
  <si>
    <t>WP14-01</t>
  </si>
  <si>
    <t>Anchor Gla</t>
  </si>
  <si>
    <t>Captures the controlled anchor gla data for Stage 14 (Retail Masterplanning and GLA Strategy); link source, owner, status, evidence, risk and decision impact.</t>
  </si>
  <si>
    <t>WP14-02</t>
  </si>
  <si>
    <t>Line-Shop Gla</t>
  </si>
  <si>
    <t>Captures the controlled line-shop gla data for Stage 14 (Retail Masterplanning and GLA Strategy); link source, owner, status, evidence, risk and decision impact.</t>
  </si>
  <si>
    <t>WP14-03</t>
  </si>
  <si>
    <t>Qsr Gla</t>
  </si>
  <si>
    <t>Captures the controlled qsr gla data for Stage 14 (Retail Masterplanning and GLA Strategy); link source, owner, status, evidence, risk and decision impact.</t>
  </si>
  <si>
    <t>WP14-04</t>
  </si>
  <si>
    <t>Forecourt Convenience Offer</t>
  </si>
  <si>
    <t>Captures the controlled forecourt convenience offer data for Stage 14 (Retail Masterplanning and GLA Strategy); link source, owner, status, evidence, risk and decision impact.</t>
  </si>
  <si>
    <t>WP14-05</t>
  </si>
  <si>
    <t>Back-Of-House Allocation</t>
  </si>
  <si>
    <t>Captures the controlled back-of-house allocation data for Stage 14 (Retail Masterplanning and GLA Strategy); link source, owner, status, evidence, risk and decision impact.</t>
  </si>
  <si>
    <t>WP14-06</t>
  </si>
  <si>
    <t>Loading Areas</t>
  </si>
  <si>
    <t>Captures the controlled loading areas data for Stage 14 (Retail Masterplanning and GLA Strategy); link source, owner, status, evidence, risk and decision impact.</t>
  </si>
  <si>
    <t>WP15 - Boxer Superstores Anchor Alignment</t>
  </si>
  <si>
    <t>WP15</t>
  </si>
  <si>
    <t>Boxer Superstores Anchor Alignment</t>
  </si>
  <si>
    <t>WP15-01</t>
  </si>
  <si>
    <t>Boxer Specifications</t>
  </si>
  <si>
    <t>Captures the controlled boxer specifications data for Stage 15 (Boxer Superstores Anchor Alignment); link source, owner, status, evidence, risk and decision impact.</t>
  </si>
  <si>
    <t>WP15-02</t>
  </si>
  <si>
    <t>Anchor Lease Principles</t>
  </si>
  <si>
    <t>Captures the controlled anchor lease principles data for Stage 15 (Boxer Superstores Anchor Alignment); link source, owner, status, evidence, risk and decision impact.</t>
  </si>
  <si>
    <t>WP15-03</t>
  </si>
  <si>
    <t>Loading Requirements</t>
  </si>
  <si>
    <t>Captures the controlled loading requirements data for Stage 15 (Boxer Superstores Anchor Alignment); link source, owner, status, evidence, risk and decision impact.</t>
  </si>
  <si>
    <t>WP15-04</t>
  </si>
  <si>
    <t>Store Footprint</t>
  </si>
  <si>
    <t>Captures the controlled store footprint data for Stage 15 (Boxer Superstores Anchor Alignment); link source, owner, status, evidence, risk and decision impact.</t>
  </si>
  <si>
    <t>WP15-05</t>
  </si>
  <si>
    <t>Service Yard</t>
  </si>
  <si>
    <t>Captures the controlled service yard data for Stage 15 (Boxer Superstores Anchor Alignment); link source, owner, status, evidence, risk and decision impact.</t>
  </si>
  <si>
    <t>WP15-06</t>
  </si>
  <si>
    <t>Delivery Windows</t>
  </si>
  <si>
    <t>Date / duration / schedule status</t>
  </si>
  <si>
    <t>Captures the controlled delivery windows data for Stage 15 (Boxer Superstores Anchor Alignment); link source, owner, status, evidence, risk and decision impact.</t>
  </si>
  <si>
    <t>WP16 - Tenant Acquisition Strategy</t>
  </si>
  <si>
    <t>WP16</t>
  </si>
  <si>
    <t>Tenant Acquisition Strategy</t>
  </si>
  <si>
    <t>WP16-01</t>
  </si>
  <si>
    <t>Target Tenant List</t>
  </si>
  <si>
    <t>Captures the controlled target tenant list data for Stage 16 (Tenant Acquisition Strategy); link source, owner, status, evidence, risk and decision impact.</t>
  </si>
  <si>
    <t>WP16-02</t>
  </si>
  <si>
    <t>Leasing Brochure</t>
  </si>
  <si>
    <t>Captures the controlled leasing brochure data for Stage 16 (Tenant Acquisition Strategy); link source, owner, status, evidence, risk and decision impact.</t>
  </si>
  <si>
    <t>WP16-03</t>
  </si>
  <si>
    <t>Anchor-Led Positioning</t>
  </si>
  <si>
    <t>Captures the controlled anchor-led positioning data for Stage 16 (Tenant Acquisition Strategy); link source, owner, status, evidence, risk and decision impact.</t>
  </si>
  <si>
    <t>WP16-04</t>
  </si>
  <si>
    <t>Rental Assumptions</t>
  </si>
  <si>
    <t>Captures the controlled rental assumptions data for Stage 16 (Tenant Acquisition Strategy); link source, owner, status, evidence, risk and decision impact.</t>
  </si>
  <si>
    <t>WP16-05</t>
  </si>
  <si>
    <t>Tenant Due Diligence</t>
  </si>
  <si>
    <t>Captures the controlled tenant due diligence data for Stage 16 (Tenant Acquisition Strategy); link source, owner, status, evidence, risk and decision impact.</t>
  </si>
  <si>
    <t>WP16-06</t>
  </si>
  <si>
    <t>Letters Of Intent</t>
  </si>
  <si>
    <t>Captures the controlled letters of intent data for Stage 16 (Tenant Acquisition Strategy); link source, owner, status, evidence, risk and decision impact.</t>
  </si>
  <si>
    <t>WP17 - Line-Shop Tenant Mix and Leasing</t>
  </si>
  <si>
    <t>WP17</t>
  </si>
  <si>
    <t>Line-Shop Tenant Mix and Leasing</t>
  </si>
  <si>
    <t>WP17-01</t>
  </si>
  <si>
    <t>Pharmacy Option</t>
  </si>
  <si>
    <t>Captures the controlled pharmacy option data for Stage 17 (Line-Shop Tenant Mix and Leasing); link source, owner, status, evidence, risk and decision impact.</t>
  </si>
  <si>
    <t>WP17-02</t>
  </si>
  <si>
    <t>Cellular Tenant</t>
  </si>
  <si>
    <t>Captures the controlled cellular tenant data for Stage 17 (Line-Shop Tenant Mix and Leasing); link source, owner, status, evidence, risk and decision impact.</t>
  </si>
  <si>
    <t>WP17-03</t>
  </si>
  <si>
    <t>Banking/Atm</t>
  </si>
  <si>
    <t>Captures the controlled banking/atm data for Stage 17 (Line-Shop Tenant Mix and Leasing); link source, owner, status, evidence, risk and decision impact.</t>
  </si>
  <si>
    <t>WP17-04</t>
  </si>
  <si>
    <t>Bakery Or Deli</t>
  </si>
  <si>
    <t>Captures the controlled bakery or deli data for Stage 17 (Line-Shop Tenant Mix and Leasing); link source, owner, status, evidence, risk and decision impact.</t>
  </si>
  <si>
    <t>WP17-05</t>
  </si>
  <si>
    <t>Local Enterprise</t>
  </si>
  <si>
    <t>Captures the controlled local enterprise data for Stage 17 (Line-Shop Tenant Mix and Leasing); link source, owner, status, evidence, risk and decision impact.</t>
  </si>
  <si>
    <t>WP17-06</t>
  </si>
  <si>
    <t>Beauty Or Personal Care</t>
  </si>
  <si>
    <t>Captures the controlled beauty or personal care data for Stage 17 (Line-Shop Tenant Mix and Leasing); link source, owner, status, evidence, risk and decision impact.</t>
  </si>
  <si>
    <t>WP18 - Fast-Food Chain Restaurant Acquisition</t>
  </si>
  <si>
    <t>WP18</t>
  </si>
  <si>
    <t>Fast-Food Chain Restaurant Acquisition</t>
  </si>
  <si>
    <t>WP18-01</t>
  </si>
  <si>
    <t>Brand Targeting</t>
  </si>
  <si>
    <t>Captures the controlled brand targeting data for Stage 18 (Fast-Food Chain Restaurant Acquisition); link source, owner, status, evidence, risk and decision impact.</t>
  </si>
  <si>
    <t>WP18-02</t>
  </si>
  <si>
    <t>Drive-Through Feasibility</t>
  </si>
  <si>
    <t>Captures the controlled drive-through feasibility data for Stage 18 (Fast-Food Chain Restaurant Acquisition); link source, owner, status, evidence, risk and decision impact.</t>
  </si>
  <si>
    <t>WP18-03</t>
  </si>
  <si>
    <t>Kitchen Extraction</t>
  </si>
  <si>
    <t>Captures the controlled kitchen extraction data for Stage 18 (Fast-Food Chain Restaurant Acquisition); link source, owner, status, evidence, risk and decision impact.</t>
  </si>
  <si>
    <t>WP18-04</t>
  </si>
  <si>
    <t>Grease Traps</t>
  </si>
  <si>
    <t>Captures the controlled grease traps data for Stage 18 (Fast-Food Chain Restaurant Acquisition); link source, owner, status, evidence, risk and decision impact.</t>
  </si>
  <si>
    <t>WP18-05</t>
  </si>
  <si>
    <t>Delivery Access</t>
  </si>
  <si>
    <t>Captures the controlled delivery access data for Stage 18 (Fast-Food Chain Restaurant Acquisition); link source, owner, status, evidence, risk and decision impact.</t>
  </si>
  <si>
    <t>WP18-06</t>
  </si>
  <si>
    <t>Seating Areas</t>
  </si>
  <si>
    <t>Captures the controlled seating areas data for Stage 18 (Fast-Food Chain Restaurant Acquisition); link source, owner, status, evidence, risk and decision impact.</t>
  </si>
  <si>
    <t>WP19 - Fuel Partner and Forecourt Coordination</t>
  </si>
  <si>
    <t>WP19</t>
  </si>
  <si>
    <t>Fuel Partner and Forecourt Coordination</t>
  </si>
  <si>
    <t>WP19-01</t>
  </si>
  <si>
    <t>Totalenergies Standards</t>
  </si>
  <si>
    <t>Captures the controlled totalenergies standards data for Stage 19 (Fuel Partner and Forecourt Coordination); link source, owner, status, evidence, risk and decision impact.</t>
  </si>
  <si>
    <t>WP19-02</t>
  </si>
  <si>
    <t>Forecourt Layout</t>
  </si>
  <si>
    <t>Captures the controlled forecourt layout data for Stage 19 (Fuel Partner and Forecourt Coordination); link source, owner, status, evidence, risk and decision impact.</t>
  </si>
  <si>
    <t>WP19-03</t>
  </si>
  <si>
    <t>Tank Farm</t>
  </si>
  <si>
    <t>Captures the controlled tank farm data for Stage 19 (Fuel Partner and Forecourt Coordination); link source, owner, status, evidence, risk and decision impact.</t>
  </si>
  <si>
    <t>WP19-04</t>
  </si>
  <si>
    <t>Fuel Logistics</t>
  </si>
  <si>
    <t>Captures the controlled fuel logistics data for Stage 19 (Fuel Partner and Forecourt Coordination); link source, owner, status, evidence, risk and decision impact.</t>
  </si>
  <si>
    <t>WP19-05</t>
  </si>
  <si>
    <t>C-Store Integration</t>
  </si>
  <si>
    <t>Captures the controlled c-store integration data for Stage 19 (Fuel Partner and Forecourt Coordination); link source, owner, status, evidence, risk and decision impact.</t>
  </si>
  <si>
    <t>WP19-06</t>
  </si>
  <si>
    <t>Brand Signage</t>
  </si>
  <si>
    <t>Captures the controlled brand signage data for Stage 19 (Fuel Partner and Forecourt Coordination); link source, owner, status, evidence, risk and decision impact.</t>
  </si>
  <si>
    <t>WP20 - Development Design</t>
  </si>
  <si>
    <t>WP20</t>
  </si>
  <si>
    <t>Development Design</t>
  </si>
  <si>
    <t>WP20-01</t>
  </si>
  <si>
    <t>Architectural Design</t>
  </si>
  <si>
    <t>Captures the controlled architectural design data for Stage 20 (Development Design); link source, owner, status, evidence, risk and decision impact.</t>
  </si>
  <si>
    <t>WP20-02</t>
  </si>
  <si>
    <t>Civil Design</t>
  </si>
  <si>
    <t>Captures the controlled civil design data for Stage 20 (Development Design); link source, owner, status, evidence, risk and decision impact.</t>
  </si>
  <si>
    <t>WP20-03</t>
  </si>
  <si>
    <t>Structural Design</t>
  </si>
  <si>
    <t>Captures the controlled structural design data for Stage 20 (Development Design); link source, owner, status, evidence, risk and decision impact.</t>
  </si>
  <si>
    <t>WP20-04</t>
  </si>
  <si>
    <t>Mep Design</t>
  </si>
  <si>
    <t>Captures the controlled mep design data for Stage 20 (Development Design); link source, owner, status, evidence, risk and decision impact.</t>
  </si>
  <si>
    <t>WP20-05</t>
  </si>
  <si>
    <t>Fire Strategy</t>
  </si>
  <si>
    <t>Captures the controlled fire strategy data for Stage 20 (Development Design); link source, owner, status, evidence, risk and decision impact.</t>
  </si>
  <si>
    <t>WP20-06</t>
  </si>
  <si>
    <t>Landscaping</t>
  </si>
  <si>
    <t>Captures the controlled landscaping data for Stage 20 (Development Design); link source, owner, status, evidence, risk and decision impact.</t>
  </si>
  <si>
    <t>WP21 - Engineering Design and Technical Documentation</t>
  </si>
  <si>
    <t>WP21</t>
  </si>
  <si>
    <t>Engineering Design and Technical Documentation</t>
  </si>
  <si>
    <t>WP21-01</t>
  </si>
  <si>
    <t>Bulk Earthworks</t>
  </si>
  <si>
    <t>Captures the controlled bulk earthworks data for Stage 21 (Engineering Design and Technical Documentation); link source, owner, status, evidence, risk and decision impact.</t>
  </si>
  <si>
    <t>WP21-02</t>
  </si>
  <si>
    <t>Stormwater Design</t>
  </si>
  <si>
    <t>Captures the controlled stormwater design data for Stage 21 (Engineering Design and Technical Documentation); link source, owner, status, evidence, risk and decision impact.</t>
  </si>
  <si>
    <t>WP21-03</t>
  </si>
  <si>
    <t>Road Pavements</t>
  </si>
  <si>
    <t>Captures the controlled road pavements data for Stage 21 (Engineering Design and Technical Documentation); link source, owner, status, evidence, risk and decision impact.</t>
  </si>
  <si>
    <t>WP21-04</t>
  </si>
  <si>
    <t>Water Reticulation</t>
  </si>
  <si>
    <t>Captures the controlled water reticulation data for Stage 21 (Engineering Design and Technical Documentation); link source, owner, status, evidence, risk and decision impact.</t>
  </si>
  <si>
    <t>WP21-05</t>
  </si>
  <si>
    <t>Sewer Reticulation</t>
  </si>
  <si>
    <t>Captures the controlled sewer reticulation data for Stage 21 (Engineering Design and Technical Documentation); link source, owner, status, evidence, risk and decision impact.</t>
  </si>
  <si>
    <t>WP21-06</t>
  </si>
  <si>
    <t>Electrical Reticulation</t>
  </si>
  <si>
    <t>Captures the controlled electrical reticulation data for Stage 21 (Engineering Design and Technical Documentation); link source, owner, status, evidence, risk and decision impact.</t>
  </si>
  <si>
    <t>WP22 - Cost Planning and Financial Modelling</t>
  </si>
  <si>
    <t>WP22</t>
  </si>
  <si>
    <t>Cost Planning and Financial Modelling</t>
  </si>
  <si>
    <t>WP22-01</t>
  </si>
  <si>
    <t>Capex Estimate</t>
  </si>
  <si>
    <t>Captures the controlled capex estimate data for Stage 22 (Cost Planning and Financial Modelling); link source, owner, status, evidence, risk and decision impact.</t>
  </si>
  <si>
    <t>WP22-02</t>
  </si>
  <si>
    <t>Professional Fees</t>
  </si>
  <si>
    <t>Captures the controlled professional fees data for Stage 22 (Cost Planning and Financial Modelling); link source, owner, status, evidence, risk and decision impact.</t>
  </si>
  <si>
    <t>WP22-03</t>
  </si>
  <si>
    <t>Approval Costs</t>
  </si>
  <si>
    <t>Captures the controlled approval costs data for Stage 22 (Cost Planning and Financial Modelling); link source, owner, status, evidence, risk and decision impact.</t>
  </si>
  <si>
    <t>WP22-04</t>
  </si>
  <si>
    <t>Tenant Fit-Out Allowances</t>
  </si>
  <si>
    <t>Captures the controlled tenant fit-out allowances data for Stage 22 (Cost Planning and Financial Modelling); link source, owner, status, evidence, risk and decision impact.</t>
  </si>
  <si>
    <t>WP22-05</t>
  </si>
  <si>
    <t>Contingency</t>
  </si>
  <si>
    <t>Captures the controlled contingency data for Stage 22 (Cost Planning and Financial Modelling); link source, owner, status, evidence, risk and decision impact.</t>
  </si>
  <si>
    <t>WP22-06</t>
  </si>
  <si>
    <t>Rental Income</t>
  </si>
  <si>
    <t>Captures the controlled rental income data for Stage 22 (Cost Planning and Financial Modelling); link source, owner, status, evidence, risk and decision impact.</t>
  </si>
  <si>
    <t>WP23 - Capital Structuring and Funding Readiness</t>
  </si>
  <si>
    <t>WP23</t>
  </si>
  <si>
    <t>Capital Structuring and Funding Readiness</t>
  </si>
  <si>
    <t>WP23-01</t>
  </si>
  <si>
    <t>Equity Contribution</t>
  </si>
  <si>
    <t>Captures the controlled equity contribution data for Stage 23 (Capital Structuring and Funding Readiness); link source, owner, status, evidence, risk and decision impact.</t>
  </si>
  <si>
    <t>WP23-02</t>
  </si>
  <si>
    <t>Debt Funding</t>
  </si>
  <si>
    <t>Captures the controlled debt funding data for Stage 23 (Capital Structuring and Funding Readiness); link source, owner, status, evidence, risk and decision impact.</t>
  </si>
  <si>
    <t>WP23-03</t>
  </si>
  <si>
    <t>Drawdown Plan</t>
  </si>
  <si>
    <t>Captures the controlled drawdown plan data for Stage 23 (Capital Structuring and Funding Readiness); link source, owner, status, evidence, risk and decision impact.</t>
  </si>
  <si>
    <t>WP23-04</t>
  </si>
  <si>
    <t>Security Package</t>
  </si>
  <si>
    <t>Captures the controlled security package data for Stage 23 (Capital Structuring and Funding Readiness); link source, owner, status, evidence, risk and decision impact.</t>
  </si>
  <si>
    <t>WP23-05</t>
  </si>
  <si>
    <t>Funder Due Diligence</t>
  </si>
  <si>
    <t>Captures the controlled funder due diligence data for Stage 23 (Capital Structuring and Funding Readiness); link source, owner, status, evidence, risk and decision impact.</t>
  </si>
  <si>
    <t>WP23-06</t>
  </si>
  <si>
    <t>Term Sheet</t>
  </si>
  <si>
    <t>Captures the controlled term sheet data for Stage 23 (Capital Structuring and Funding Readiness); link source, owner, status, evidence, risk and decision impact.</t>
  </si>
  <si>
    <t>WP24 - Procurement Strategy and Tender Documentation</t>
  </si>
  <si>
    <t>WP24</t>
  </si>
  <si>
    <t>Procurement Strategy and Tender Documentation</t>
  </si>
  <si>
    <t>WP24-01</t>
  </si>
  <si>
    <t>Procurement Route</t>
  </si>
  <si>
    <t>Captures the controlled procurement route data for Stage 24 (Procurement Strategy and Tender Documentation); link source, owner, status, evidence, risk and decision impact.</t>
  </si>
  <si>
    <t>WP24-02</t>
  </si>
  <si>
    <t>Tender Pack</t>
  </si>
  <si>
    <t>Captures the controlled tender pack data for Stage 24 (Procurement Strategy and Tender Documentation); link source, owner, status, evidence, risk and decision impact.</t>
  </si>
  <si>
    <t>WP24-03</t>
  </si>
  <si>
    <t>Boq</t>
  </si>
  <si>
    <t>Captures the controlled boq data for Stage 24 (Procurement Strategy and Tender Documentation); link source, owner, status, evidence, risk and decision impact.</t>
  </si>
  <si>
    <t>WP24-04</t>
  </si>
  <si>
    <t>Contract Conditions</t>
  </si>
  <si>
    <t>Captures the controlled contract conditions data for Stage 24 (Procurement Strategy and Tender Documentation); link source, owner, status, evidence, risk and decision impact.</t>
  </si>
  <si>
    <t>WP24-05</t>
  </si>
  <si>
    <t>Bid Evaluation</t>
  </si>
  <si>
    <t>Captures the controlled bid evaluation data for Stage 24 (Procurement Strategy and Tender Documentation); link source, owner, status, evidence, risk and decision impact.</t>
  </si>
  <si>
    <t>WP24-06</t>
  </si>
  <si>
    <t>Supplier Strategy</t>
  </si>
  <si>
    <t>Captures the controlled supplier strategy data for Stage 24 (Procurement Strategy and Tender Documentation); link source, owner, status, evidence, risk and decision impact.</t>
  </si>
  <si>
    <t>WP25 - Contractor Due Diligence and Appointment</t>
  </si>
  <si>
    <t>WP25</t>
  </si>
  <si>
    <t>Contractor Due Diligence and Appointment</t>
  </si>
  <si>
    <t>WP25-01</t>
  </si>
  <si>
    <t>Contractor Capacity</t>
  </si>
  <si>
    <t>Captures the controlled contractor capacity data for Stage 25 (Contractor Due Diligence and Appointment); link source, owner, status, evidence, risk and decision impact.</t>
  </si>
  <si>
    <t>WP25-02</t>
  </si>
  <si>
    <t>Financial Strength</t>
  </si>
  <si>
    <t>Captures the controlled financial strength data for Stage 25 (Contractor Due Diligence and Appointment); link source, owner, status, evidence, risk and decision impact.</t>
  </si>
  <si>
    <t>WP25-03</t>
  </si>
  <si>
    <t>Similar Project Experience</t>
  </si>
  <si>
    <t>Captures the controlled similar project experience data for Stage 25 (Contractor Due Diligence and Appointment); link source, owner, status, evidence, risk and decision impact.</t>
  </si>
  <si>
    <t>WP25-04</t>
  </si>
  <si>
    <t>Hse Record</t>
  </si>
  <si>
    <t>Captures the controlled hse record data for Stage 25 (Contractor Due Diligence and Appointment); link source, owner, status, evidence, risk and decision impact.</t>
  </si>
  <si>
    <t>WP25-05</t>
  </si>
  <si>
    <t>Quality Systems</t>
  </si>
  <si>
    <t>Captures the controlled quality systems data for Stage 25 (Contractor Due Diligence and Appointment); link source, owner, status, evidence, risk and decision impact.</t>
  </si>
  <si>
    <t>WP25-06</t>
  </si>
  <si>
    <t>Programme Credibility</t>
  </si>
  <si>
    <t>Captures the controlled programme credibility data for Stage 25 (Contractor Due Diligence and Appointment); link source, owner, status, evidence, risk and decision impact.</t>
  </si>
  <si>
    <t>WP26 - Regulatory Permitting and Building Plan Approval</t>
  </si>
  <si>
    <t>WP26</t>
  </si>
  <si>
    <t>Regulatory Permitting and Building Plan Approval</t>
  </si>
  <si>
    <t>WP26-01</t>
  </si>
  <si>
    <t>Building Plans</t>
  </si>
  <si>
    <t>Captures the controlled building plans data for Stage 26 (Regulatory Permitting and Building Plan Approval); link source, owner, status, evidence, risk and decision impact.</t>
  </si>
  <si>
    <t>WP26-02</t>
  </si>
  <si>
    <t>Fire Approval</t>
  </si>
  <si>
    <t>Captures the controlled fire approval data for Stage 26 (Regulatory Permitting and Building Plan Approval); link source, owner, status, evidence, risk and decision impact.</t>
  </si>
  <si>
    <t>WP26-03</t>
  </si>
  <si>
    <t>Health Approval</t>
  </si>
  <si>
    <t>Captures the controlled health approval data for Stage 26 (Regulatory Permitting and Building Plan Approval); link source, owner, status, evidence, risk and decision impact.</t>
  </si>
  <si>
    <t>WP26-04</t>
  </si>
  <si>
    <t>Road Access Approval</t>
  </si>
  <si>
    <t>Captures the controlled road access approval data for Stage 26 (Regulatory Permitting and Building Plan Approval); link source, owner, status, evidence, risk and decision impact.</t>
  </si>
  <si>
    <t>WP26-05</t>
  </si>
  <si>
    <t>Water Connection</t>
  </si>
  <si>
    <t>Captures the controlled water connection data for Stage 26 (Regulatory Permitting and Building Plan Approval); link source, owner, status, evidence, risk and decision impact.</t>
  </si>
  <si>
    <t>WP26-06</t>
  </si>
  <si>
    <t>Sewer Connection</t>
  </si>
  <si>
    <t>Captures the controlled sewer connection data for Stage 26 (Regulatory Permitting and Building Plan Approval); link source, owner, status, evidence, risk and decision impact.</t>
  </si>
  <si>
    <t>WP27 - Construction Mobilisation</t>
  </si>
  <si>
    <t>WP27</t>
  </si>
  <si>
    <t>Construction Mobilisation</t>
  </si>
  <si>
    <t>WP27-01</t>
  </si>
  <si>
    <t>Site Handover</t>
  </si>
  <si>
    <t>Captures the controlled site handover data for Stage 27 (Construction Mobilisation); link source, owner, status, evidence, risk and decision impact.</t>
  </si>
  <si>
    <t>WP27-02</t>
  </si>
  <si>
    <t>Site Camp</t>
  </si>
  <si>
    <t>Captures the controlled site camp data for Stage 27 (Construction Mobilisation); link source, owner, status, evidence, risk and decision impact.</t>
  </si>
  <si>
    <t>WP27-03</t>
  </si>
  <si>
    <t>Survey Setting Out</t>
  </si>
  <si>
    <t>Captures the controlled survey setting out data for Stage 27 (Construction Mobilisation); link source, owner, status, evidence, risk and decision impact.</t>
  </si>
  <si>
    <t>WP27-04</t>
  </si>
  <si>
    <t>Hse File</t>
  </si>
  <si>
    <t>Captures the controlled hse file data for Stage 27 (Construction Mobilisation); link source, owner, status, evidence, risk and decision impact.</t>
  </si>
  <si>
    <t>WP27-05</t>
  </si>
  <si>
    <t>Environmental Controls</t>
  </si>
  <si>
    <t>Captures the controlled environmental controls data for Stage 27 (Construction Mobilisation); link source, owner, status, evidence, risk and decision impact.</t>
  </si>
  <si>
    <t>WP27-06</t>
  </si>
  <si>
    <t>Baseline Programme</t>
  </si>
  <si>
    <t>Captures the controlled baseline programme data for Stage 27 (Construction Mobilisation); link source, owner, status, evidence, risk and decision impact.</t>
  </si>
  <si>
    <t>WP28 - Civil Works, Earthworks and Access Construction</t>
  </si>
  <si>
    <t>WP28</t>
  </si>
  <si>
    <t>Civil Works, Earthworks and Access Construction</t>
  </si>
  <si>
    <t>WP28-01</t>
  </si>
  <si>
    <t>Clearing And Grubbing</t>
  </si>
  <si>
    <t>Captures the controlled clearing and grubbing data for Stage 28 (Civil Works, Earthworks and Access Construction); link source, owner, status, evidence, risk and decision impact.</t>
  </si>
  <si>
    <t>WP28-02</t>
  </si>
  <si>
    <t>Captures the controlled bulk earthworks data for Stage 28 (Civil Works, Earthworks and Access Construction); link source, owner, status, evidence, risk and decision impact.</t>
  </si>
  <si>
    <t>WP28-03</t>
  </si>
  <si>
    <t>Platforms</t>
  </si>
  <si>
    <t>Captures the controlled platforms data for Stage 28 (Civil Works, Earthworks and Access Construction); link source, owner, status, evidence, risk and decision impact.</t>
  </si>
  <si>
    <t>WP28-04</t>
  </si>
  <si>
    <t>R567 Entrance Works</t>
  </si>
  <si>
    <t>Captures the controlled r567 entrance works data for Stage 28 (Civil Works, Earthworks and Access Construction); link source, owner, status, evidence, risk and decision impact.</t>
  </si>
  <si>
    <t>WP28-05</t>
  </si>
  <si>
    <t>Stormwater Structures</t>
  </si>
  <si>
    <t>Captures the controlled stormwater structures data for Stage 28 (Civil Works, Earthworks and Access Construction); link source, owner, status, evidence, risk and decision impact.</t>
  </si>
  <si>
    <t>WP28-06</t>
  </si>
  <si>
    <t>Internal Roads</t>
  </si>
  <si>
    <t>Captures the controlled internal roads data for Stage 28 (Civil Works, Earthworks and Access Construction); link source, owner, status, evidence, risk and decision impact.</t>
  </si>
  <si>
    <t>WP29 - Building Shells and Services Installation</t>
  </si>
  <si>
    <t>WP29</t>
  </si>
  <si>
    <t>Building Shells and Services Installation</t>
  </si>
  <si>
    <t>WP29-01</t>
  </si>
  <si>
    <t>Boxer Shell</t>
  </si>
  <si>
    <t>Captures the controlled boxer shell data for Stage 29 (Building Shells and Services Installation); link source, owner, status, evidence, risk and decision impact.</t>
  </si>
  <si>
    <t>WP29-02</t>
  </si>
  <si>
    <t>Line-Shop Shells</t>
  </si>
  <si>
    <t>Captures the controlled line-shop shells data for Stage 29 (Building Shells and Services Installation); link source, owner, status, evidence, risk and decision impact.</t>
  </si>
  <si>
    <t>WP29-03</t>
  </si>
  <si>
    <t>Qsr Shells</t>
  </si>
  <si>
    <t>Captures the controlled qsr shells data for Stage 29 (Building Shells and Services Installation); link source, owner, status, evidence, risk and decision impact.</t>
  </si>
  <si>
    <t>WP29-04</t>
  </si>
  <si>
    <t>Roofing</t>
  </si>
  <si>
    <t>Captures the controlled roofing data for Stage 29 (Building Shells and Services Installation); link source, owner, status, evidence, risk and decision impact.</t>
  </si>
  <si>
    <t>WP29-05</t>
  </si>
  <si>
    <t>Shopfronts</t>
  </si>
  <si>
    <t>Captures the controlled shopfronts data for Stage 29 (Building Shells and Services Installation); link source, owner, status, evidence, risk and decision impact.</t>
  </si>
  <si>
    <t>WP29-06</t>
  </si>
  <si>
    <t>Water Services</t>
  </si>
  <si>
    <t>Captures the controlled water services data for Stage 29 (Building Shells and Services Installation); link source, owner, status, evidence, risk and decision impact.</t>
  </si>
  <si>
    <t>WP30 - Tenant Fit-Out Coordination</t>
  </si>
  <si>
    <t>WP30</t>
  </si>
  <si>
    <t>Tenant Fit-Out Coordination</t>
  </si>
  <si>
    <t>WP30-01</t>
  </si>
  <si>
    <t>Boxer Fit-Out</t>
  </si>
  <si>
    <t>Captures the controlled boxer fit-out data for Stage 30 (Tenant Fit-Out Coordination); link source, owner, status, evidence, risk and decision impact.</t>
  </si>
  <si>
    <t>WP30-02</t>
  </si>
  <si>
    <t>Line-Shop Fit-Out</t>
  </si>
  <si>
    <t>Captures the controlled line-shop fit-out data for Stage 30 (Tenant Fit-Out Coordination); link source, owner, status, evidence, risk and decision impact.</t>
  </si>
  <si>
    <t>WP30-03</t>
  </si>
  <si>
    <t>Fast-Food Fit-Out</t>
  </si>
  <si>
    <t>Captures the controlled fast-food fit-out data for Stage 30 (Tenant Fit-Out Coordination); link source, owner, status, evidence, risk and decision impact.</t>
  </si>
  <si>
    <t>WP30-04</t>
  </si>
  <si>
    <t>Handover Dates</t>
  </si>
  <si>
    <t>Captures the controlled handover dates data for Stage 30 (Tenant Fit-Out Coordination); link source, owner, status, evidence, risk and decision impact.</t>
  </si>
  <si>
    <t>WP30-05</t>
  </si>
  <si>
    <t>Fit-Out Rules</t>
  </si>
  <si>
    <t>Captures the controlled fit-out rules data for Stage 30 (Tenant Fit-Out Coordination); link source, owner, status, evidence, risk and decision impact.</t>
  </si>
  <si>
    <t>WP30-06</t>
  </si>
  <si>
    <t>Tenant Utilities</t>
  </si>
  <si>
    <t>Captures the controlled tenant utilities data for Stage 30 (Tenant Fit-Out Coordination); link source, owner, status, evidence, risk and decision impact.</t>
  </si>
  <si>
    <t>WP31 - Quality Assurance, HSE and Compliance Control</t>
  </si>
  <si>
    <t>WP31</t>
  </si>
  <si>
    <t>Quality Assurance, HSE and Compliance Control</t>
  </si>
  <si>
    <t>WP31-01</t>
  </si>
  <si>
    <t>Quality Inspections</t>
  </si>
  <si>
    <t>Captures the controlled quality inspections data for Stage 31 (Quality Assurance, HSE and Compliance Control); link source, owner, status, evidence, risk and decision impact.</t>
  </si>
  <si>
    <t>WP31-02</t>
  </si>
  <si>
    <t>Hse Audits</t>
  </si>
  <si>
    <t>Captures the controlled hse audits data for Stage 31 (Quality Assurance, HSE and Compliance Control); link source, owner, status, evidence, risk and decision impact.</t>
  </si>
  <si>
    <t>WP31-03</t>
  </si>
  <si>
    <t>Environmental Monitoring</t>
  </si>
  <si>
    <t>Captures the controlled environmental monitoring data for Stage 31 (Quality Assurance, HSE and Compliance Control); link source, owner, status, evidence, risk and decision impact.</t>
  </si>
  <si>
    <t>WP31-04</t>
  </si>
  <si>
    <t>Material Approvals</t>
  </si>
  <si>
    <t>Captures the controlled material approvals data for Stage 31 (Quality Assurance, HSE and Compliance Control); link source, owner, status, evidence, risk and decision impact.</t>
  </si>
  <si>
    <t>WP31-05</t>
  </si>
  <si>
    <t>Variation Control</t>
  </si>
  <si>
    <t>Captures the controlled variation control data for Stage 31 (Quality Assurance, HSE and Compliance Control); link source, owner, status, evidence, risk and decision impact.</t>
  </si>
  <si>
    <t>WP31-06</t>
  </si>
  <si>
    <t>Payment Certification</t>
  </si>
  <si>
    <t>Captures the controlled payment certification data for Stage 31 (Quality Assurance, HSE and Compliance Control); link source, owner, status, evidence, risk and decision impact.</t>
  </si>
  <si>
    <t>WP32 - Commissioning and Testing</t>
  </si>
  <si>
    <t>WP32</t>
  </si>
  <si>
    <t>Commissioning and Testing</t>
  </si>
  <si>
    <t>WP32-01</t>
  </si>
  <si>
    <t>Electrical Testing</t>
  </si>
  <si>
    <t>Captures the controlled electrical testing data for Stage 32 (Commissioning and Testing); link source, owner, status, evidence, risk and decision impact.</t>
  </si>
  <si>
    <t>WP32-02</t>
  </si>
  <si>
    <t>Water Pressure Testing</t>
  </si>
  <si>
    <t>Captures the controlled water pressure testing data for Stage 32 (Commissioning and Testing); link source, owner, status, evidence, risk and decision impact.</t>
  </si>
  <si>
    <t>WP32-03</t>
  </si>
  <si>
    <t>Fire System Testing</t>
  </si>
  <si>
    <t>Captures the controlled fire system testing data for Stage 32 (Commissioning and Testing); link source, owner, status, evidence, risk and decision impact.</t>
  </si>
  <si>
    <t>WP32-04</t>
  </si>
  <si>
    <t>Stormwater Checks</t>
  </si>
  <si>
    <t>Captures the controlled stormwater checks data for Stage 32 (Commissioning and Testing); link source, owner, status, evidence, risk and decision impact.</t>
  </si>
  <si>
    <t>WP32-05</t>
  </si>
  <si>
    <t>Hvac Testing</t>
  </si>
  <si>
    <t>Captures the controlled hvac testing data for Stage 32 (Commissioning and Testing); link source, owner, status, evidence, risk and decision impact.</t>
  </si>
  <si>
    <t>WP32-06</t>
  </si>
  <si>
    <t>Ict Testing</t>
  </si>
  <si>
    <t>Captures the controlled ict testing data for Stage 32 (Commissioning and Testing); link source, owner, status, evidence, risk and decision impact.</t>
  </si>
  <si>
    <t>WP33 - Handover to Operators and Tenants</t>
  </si>
  <si>
    <t>WP33</t>
  </si>
  <si>
    <t>Handover to Operators and Tenants</t>
  </si>
  <si>
    <t>WP33-01</t>
  </si>
  <si>
    <t>Handover Manuals</t>
  </si>
  <si>
    <t>Captures the controlled handover manuals data for Stage 33 (Handover to Operators and Tenants); link source, owner, status, evidence, risk and decision impact.</t>
  </si>
  <si>
    <t>WP33-02</t>
  </si>
  <si>
    <t>As-Built Drawings</t>
  </si>
  <si>
    <t>Captures the controlled as-built drawings data for Stage 33 (Handover to Operators and Tenants); link source, owner, status, evidence, risk and decision impact.</t>
  </si>
  <si>
    <t>WP33-03</t>
  </si>
  <si>
    <t>Warranty Register</t>
  </si>
  <si>
    <t>Captures the controlled warranty register data for Stage 33 (Handover to Operators and Tenants); link source, owner, status, evidence, risk and decision impact.</t>
  </si>
  <si>
    <t>WP33-04</t>
  </si>
  <si>
    <t>Tenant Certificates</t>
  </si>
  <si>
    <t>Captures the controlled tenant certificates data for Stage 33 (Handover to Operators and Tenants); link source, owner, status, evidence, risk and decision impact.</t>
  </si>
  <si>
    <t>WP33-05</t>
  </si>
  <si>
    <t>Maintenance Plans</t>
  </si>
  <si>
    <t>Captures the controlled maintenance plans data for Stage 33 (Handover to Operators and Tenants); link source, owner, status, evidence, risk and decision impact.</t>
  </si>
  <si>
    <t>WP33-06</t>
  </si>
  <si>
    <t>Operator Training</t>
  </si>
  <si>
    <t>Captures the controlled operator training data for Stage 33 (Handover to Operators and Tenants); link source, owner, status, evidence, risk and decision impact.</t>
  </si>
  <si>
    <t>WP34 - Operational Ramp-Up</t>
  </si>
  <si>
    <t>WP34</t>
  </si>
  <si>
    <t>Operational Ramp-Up</t>
  </si>
  <si>
    <t>WP34-01</t>
  </si>
  <si>
    <t>Soft Opening</t>
  </si>
  <si>
    <t>Captures the controlled soft opening data for Stage 34 (Operational Ramp-Up); link source, owner, status, evidence, risk and decision impact.</t>
  </si>
  <si>
    <t>WP34-02</t>
  </si>
  <si>
    <t>Boxer Opening</t>
  </si>
  <si>
    <t>Captures the controlled boxer opening data for Stage 34 (Operational Ramp-Up); link source, owner, status, evidence, risk and decision impact.</t>
  </si>
  <si>
    <t>WP34-03</t>
  </si>
  <si>
    <t>Tenant Trading Readiness</t>
  </si>
  <si>
    <t>Captures the controlled tenant trading readiness data for Stage 34 (Operational Ramp-Up); link source, owner, status, evidence, risk and decision impact.</t>
  </si>
  <si>
    <t>WP34-04</t>
  </si>
  <si>
    <t>Traffic Management</t>
  </si>
  <si>
    <t>Captures the controlled traffic management data for Stage 34 (Operational Ramp-Up); link source, owner, status, evidence, risk and decision impact.</t>
  </si>
  <si>
    <t>WP34-05</t>
  </si>
  <si>
    <t>Customer Service</t>
  </si>
  <si>
    <t>Captures the controlled customer service data for Stage 34 (Operational Ramp-Up); link source, owner, status, evidence, risk and decision impact.</t>
  </si>
  <si>
    <t>WP34-06</t>
  </si>
  <si>
    <t>Operations Dashboard</t>
  </si>
  <si>
    <t>Captures the controlled operations dashboard data for Stage 34 (Operational Ramp-Up); link source, owner, status, evidence, risk and decision impact.</t>
  </si>
  <si>
    <t>WP35 - Operations Management</t>
  </si>
  <si>
    <t>WP35</t>
  </si>
  <si>
    <t>Operations Management</t>
  </si>
  <si>
    <t>WP35-01</t>
  </si>
  <si>
    <t>Property Management</t>
  </si>
  <si>
    <t>Captures the controlled property management data for Stage 35 (Operations Management); link source, owner, status, evidence, risk and decision impact.</t>
  </si>
  <si>
    <t>WP35-02</t>
  </si>
  <si>
    <t>Lease Administration</t>
  </si>
  <si>
    <t>Captures the controlled lease administration data for Stage 35 (Operations Management); link source, owner, status, evidence, risk and decision impact.</t>
  </si>
  <si>
    <t>WP35-03</t>
  </si>
  <si>
    <t>Tenant Relations</t>
  </si>
  <si>
    <t>Captures the controlled tenant relations data for Stage 35 (Operations Management); link source, owner, status, evidence, risk and decision impact.</t>
  </si>
  <si>
    <t>WP35-04</t>
  </si>
  <si>
    <t>Security Operations</t>
  </si>
  <si>
    <t>Captures the controlled security operations data for Stage 35 (Operations Management); link source, owner, status, evidence, risk and decision impact.</t>
  </si>
  <si>
    <t>WP35-05</t>
  </si>
  <si>
    <t>Cleaning Operations</t>
  </si>
  <si>
    <t>Captures the controlled cleaning operations data for Stage 35 (Operations Management); link source, owner, status, evidence, risk and decision impact.</t>
  </si>
  <si>
    <t>WP35-06</t>
  </si>
  <si>
    <t>Parking Control</t>
  </si>
  <si>
    <t>Captures the controlled parking control data for Stage 35 (Operations Management); link source, owner, status, evidence, risk and decision impact.</t>
  </si>
  <si>
    <t>WP36 - Maintenance Management</t>
  </si>
  <si>
    <t>WP36</t>
  </si>
  <si>
    <t>Maintenance Management</t>
  </si>
  <si>
    <t>WP36-01</t>
  </si>
  <si>
    <t>Preventive Maintenance</t>
  </si>
  <si>
    <t>Captures the controlled preventive maintenance data for Stage 36 (Maintenance Management); link source, owner, status, evidence, risk and decision impact.</t>
  </si>
  <si>
    <t>WP36-02</t>
  </si>
  <si>
    <t>Reactive Maintenance</t>
  </si>
  <si>
    <t>Captures the controlled reactive maintenance data for Stage 36 (Maintenance Management); link source, owner, status, evidence, risk and decision impact.</t>
  </si>
  <si>
    <t>WP36-03</t>
  </si>
  <si>
    <t>Roof And Gutters</t>
  </si>
  <si>
    <t>Captures the controlled roof and gutters data for Stage 36 (Maintenance Management); link source, owner, status, evidence, risk and decision impact.</t>
  </si>
  <si>
    <t>WP36-04</t>
  </si>
  <si>
    <t>Electrical Systems</t>
  </si>
  <si>
    <t>Captures the controlled electrical systems data for Stage 36 (Maintenance Management); link source, owner, status, evidence, risk and decision impact.</t>
  </si>
  <si>
    <t>WP36-05</t>
  </si>
  <si>
    <t>Plumbing Systems</t>
  </si>
  <si>
    <t>Captures the controlled plumbing systems data for Stage 36 (Maintenance Management); link source, owner, status, evidence, risk and decision impact.</t>
  </si>
  <si>
    <t>WP36-06</t>
  </si>
  <si>
    <t>Fire Equipment</t>
  </si>
  <si>
    <t>Captures the controlled fire equipment data for Stage 36 (Maintenance Management); link source, owner, status, evidence, risk and decision impact.</t>
  </si>
  <si>
    <t>WP37 - Sustainable Impact, Performance Monitoring and Future Expansion</t>
  </si>
  <si>
    <t>WP37</t>
  </si>
  <si>
    <t>Sustainable Impact, Performance Monitoring and Future Expansion</t>
  </si>
  <si>
    <t>WP37-01</t>
  </si>
  <si>
    <t>Esg Reporting</t>
  </si>
  <si>
    <t>Captures the controlled esg reporting data for Stage 37 (Sustainable Impact, Performance Monitoring and Future Expansion); link source, owner, status, evidence, risk and decision impact.</t>
  </si>
  <si>
    <t>WP37-02</t>
  </si>
  <si>
    <t>Job Creation</t>
  </si>
  <si>
    <t>Captures the controlled job creation data for Stage 37 (Sustainable Impact, Performance Monitoring and Future Expansion); link source, owner, status, evidence, risk and decision impact.</t>
  </si>
  <si>
    <t>WP37-03</t>
  </si>
  <si>
    <t>Local Procurement</t>
  </si>
  <si>
    <t>Captures the controlled local procurement data for Stage 37 (Sustainable Impact, Performance Monitoring and Future Expansion); link source, owner, status, evidence, risk and decision impact.</t>
  </si>
  <si>
    <t>WP37-04</t>
  </si>
  <si>
    <t>Community Benefit</t>
  </si>
  <si>
    <t>Captures the controlled community benefit data for Stage 37 (Sustainable Impact, Performance Monitoring and Future Expansion); link source, owner, status, evidence, risk and decision impact.</t>
  </si>
  <si>
    <t>WP37-05</t>
  </si>
  <si>
    <t>Energy Efficiency</t>
  </si>
  <si>
    <t>Captures the controlled energy efficiency data for Stage 37 (Sustainable Impact, Performance Monitoring and Future Expansion); link source, owner, status, evidence, risk and decision impact.</t>
  </si>
  <si>
    <t>WP37-06</t>
  </si>
  <si>
    <t>Water Performance</t>
  </si>
  <si>
    <t>Captures the controlled water performance data for Stage 37 (Sustainable Impact, Performance Monitoring and Future Expansion); link source, owner, status, evidence, risk and decision impact.</t>
  </si>
  <si>
    <t>OPBOH™ Section Allocation</t>
  </si>
  <si>
    <t>Field counts reconcile directly to the controlled 827-field register</t>
  </si>
  <si>
    <t>Module Type</t>
  </si>
  <si>
    <t>Field Count</t>
  </si>
  <si>
    <t>% of 827</t>
  </si>
  <si>
    <t>First Field Code</t>
  </si>
  <si>
    <t>Core / reusable</t>
  </si>
  <si>
    <t>Stage-specific</t>
  </si>
  <si>
    <t>Total controlled fields</t>
  </si>
  <si>
    <t>OPBOH™ 37 Controlled Work Packages</t>
  </si>
  <si>
    <t>Six stage-specific focus fields are defined for every work package</t>
  </si>
  <si>
    <t>First Field</t>
  </si>
  <si>
    <t>Last Field</t>
  </si>
  <si>
    <t>Control Status</t>
  </si>
  <si>
    <t>Complete</t>
  </si>
  <si>
    <t>Controlled Lists and Implementation Conventions</t>
  </si>
  <si>
    <t>Use these values for validation, configuration and system implementation</t>
  </si>
  <si>
    <t>List</t>
  </si>
  <si>
    <t>Code / Value</t>
  </si>
  <si>
    <t>Controlled Meaning</t>
  </si>
  <si>
    <t>Conditional when applicable</t>
  </si>
  <si>
    <t>Optional / supporting</t>
  </si>
  <si>
    <t>Mandatory when the applicable stage, component, jurisdiction or risk rule is activated</t>
  </si>
  <si>
    <t>Core Rule</t>
  </si>
  <si>
    <t>Value</t>
  </si>
  <si>
    <t>Implementation Requirement</t>
  </si>
  <si>
    <t>Field code</t>
  </si>
  <si>
    <t>Never reuse a retired code for a different meaning.</t>
  </si>
  <si>
    <t>Null / N/A</t>
  </si>
  <si>
    <t>Distinct states</t>
  </si>
  <si>
    <t>N/A requires an approved applicability rationale and, where material, evidence.</t>
  </si>
  <si>
    <t>Material field</t>
  </si>
  <si>
    <t>Source + owner + approval + audit ref</t>
  </si>
  <si>
    <t>Required when used in a score, model, gate, capital decision or external report.</t>
  </si>
  <si>
    <t>Historical record</t>
  </si>
  <si>
    <t>Effective-dated</t>
  </si>
  <si>
    <t>Retain critical records so historical opinions and gate certificates can be reproduced exactly.</t>
  </si>
  <si>
    <t>Accepted + current + traceable</t>
  </si>
  <si>
    <t>A response or elapsed date alone cannot authorise progression.</t>
  </si>
  <si>
    <t>Critical control</t>
  </si>
  <si>
    <t>Non-averageable</t>
  </si>
  <si>
    <t>A strong average cannot conceal a failed mandatory floor, fatal flaw or critical control.</t>
  </si>
  <si>
    <t>Closure</t>
  </si>
  <si>
    <t>Evidence verified</t>
  </si>
  <si>
    <t>Discussion alone cannot close a finding, action or condition.</t>
  </si>
  <si>
    <t>Source, Authority and Document Control</t>
  </si>
  <si>
    <t>Controlled provenance for the OPBOH 827-field register</t>
  </si>
  <si>
    <t>Control Attribute</t>
  </si>
  <si>
    <t>Controlled Value</t>
  </si>
  <si>
    <t>Framework</t>
  </si>
  <si>
    <t>OPBOH™ — Organisational and Project Bill of Health</t>
  </si>
  <si>
    <t>Document ID</t>
  </si>
  <si>
    <t>IPACGS-OPBOH-MOD-FLD-001</t>
  </si>
  <si>
    <t>Version</t>
  </si>
  <si>
    <t>1.1</t>
  </si>
  <si>
    <t>Issue Date</t>
  </si>
  <si>
    <t>2026-08-06</t>
  </si>
  <si>
    <t>Source File</t>
  </si>
  <si>
    <t>OPBOH_Full_Cycle_Assessment_Module_Field_Requirements_v1.1.docx</t>
  </si>
  <si>
    <t>Owner</t>
  </si>
  <si>
    <t>IPAC Governance Systems (Pty) Ltd</t>
  </si>
  <si>
    <t>Classification</t>
  </si>
  <si>
    <t>Confidential and Proprietary</t>
  </si>
  <si>
    <t>Explicit Fields</t>
  </si>
  <si>
    <t>Controlled Work Packages</t>
  </si>
  <si>
    <t>Source Questions</t>
  </si>
  <si>
    <t>Architecture Basis</t>
  </si>
  <si>
    <t>IPAC Governance Systems SRS v2.1; AGA; S1-S21; Gate 0-Gate 10; 37 controlled work packages</t>
  </si>
  <si>
    <t>Authoritative Positioning</t>
  </si>
  <si>
    <t>Controlled Statement</t>
  </si>
  <si>
    <t>OPBOH remains the Organisational and Project Bill of Health framework. This register defines the full-cycle OPBOH assessment-pack and data-model fields mapped to the 37 controlled work packages. It interoperates with related IPAC frameworks and does not rename or replace the authoritative registry framework.</t>
  </si>
  <si>
    <t>Purpose</t>
  </si>
  <si>
    <t>Define the complete minimum data capture, validation, multi-format file and photo upload, content analysis, evidence, workflow, scoring, decision and reporting fields required to determine project assurance across the full project lifecycle.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</si>
</sst>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name val="Carlito"/>
    </font>
    <font>
      <i/>
      <sz val="10"/>
      <color rgb="FFFFFFFF"/>
      <name val="Aptos"/>
    </font>
    <font>
      <b/>
      <sz val="10"/>
      <color rgb="FFFFFFFF"/>
      <name val="Aptos"/>
    </font>
    <font>
      <sz val="10"/>
      <name val="Aptos"/>
    </font>
    <font>
      <b/>
      <sz val="10"/>
      <color rgb="FF1B7F3A"/>
      <name val="Aptos"/>
    </font>
    <font>
      <b/>
      <sz val="10"/>
      <color rgb="FF135AA3"/>
      <name val="Aptos"/>
    </font>
    <font>
      <b/>
      <sz val="10"/>
      <color rgb="FF6B2D84"/>
      <name val="Aptos"/>
    </font>
    <font>
      <b/>
      <sz val="10"/>
      <color rgb="FFF28C28"/>
      <name val="Aptos"/>
    </font>
    <font>
      <sz val="10"/>
      <color rgb="FF071C4A"/>
      <name val="Aptos"/>
    </font>
    <font>
      <b/>
      <sz val="10"/>
      <color rgb="FF071C4A"/>
      <name val="Aptos"/>
    </font>
    <font>
      <i/>
      <sz val="10"/>
      <color rgb="FF071C4A"/>
      <name val="Aptos"/>
    </font>
  </fonts>
  <fills count="9">
    <fill>
      <patternFill patternType="none"/>
    </fill>
    <fill>
      <patternFill patternType="gray125"/>
    </fill>
    <fill>
      <patternFill patternType="solid">
        <fgColor rgb="FF071C4A"/>
      </patternFill>
    </fill>
    <fill>
      <patternFill patternType="solid">
        <fgColor rgb="FF0E3477"/>
      </patternFill>
    </fill>
    <fill>
      <patternFill patternType="solid">
        <fgColor rgb="FFF28C28"/>
      </patternFill>
    </fill>
    <fill>
      <patternFill patternType="solid">
        <fgColor rgb="FFF8FAFC"/>
      </patternFill>
    </fill>
    <fill>
      <patternFill patternType="solid">
        <fgColor rgb="FFEAF2FB"/>
      </patternFill>
    </fill>
    <fill>
      <patternFill patternType="solid">
        <fgColor rgb="FF135AA3"/>
      </patternFill>
    </fill>
    <fill>
      <patternFill patternType="solid">
        <fgColor rgb="FFFFF4D6"/>
      </patternFill>
    </fill>
  </fills>
  <borders count="46">
    <border>
      <left/>
      <right/>
      <top/>
      <bottom/>
      <diagonal/>
    </border>
    <border>
      <left style="medium">
        <color rgb="FF1B7F3A"/>
      </left>
      <right/>
      <top style="medium">
        <color rgb="FF1B7F3A"/>
      </top>
      <bottom/>
      <diagonal/>
    </border>
    <border>
      <left/>
      <right style="medium">
        <color rgb="FF1B7F3A"/>
      </right>
      <top style="medium">
        <color rgb="FF1B7F3A"/>
      </top>
      <bottom/>
      <diagonal/>
    </border>
    <border>
      <left style="medium">
        <color rgb="FF1B7F3A"/>
      </left>
      <right/>
      <top/>
      <bottom/>
      <diagonal/>
    </border>
    <border>
      <left/>
      <right style="medium">
        <color rgb="FF1B7F3A"/>
      </right>
      <top/>
      <bottom/>
      <diagonal/>
    </border>
    <border>
      <left style="medium">
        <color rgb="FF1B7F3A"/>
      </left>
      <right/>
      <top/>
      <bottom style="medium">
        <color rgb="FF1B7F3A"/>
      </bottom>
      <diagonal/>
    </border>
    <border>
      <left/>
      <right style="medium">
        <color rgb="FF1B7F3A"/>
      </right>
      <top/>
      <bottom style="medium">
        <color rgb="FF1B7F3A"/>
      </bottom>
      <diagonal/>
    </border>
    <border>
      <left style="medium">
        <color rgb="FF135AA3"/>
      </left>
      <right/>
      <top style="medium">
        <color rgb="FF135AA3"/>
      </top>
      <bottom/>
      <diagonal/>
    </border>
    <border>
      <left/>
      <right style="medium">
        <color rgb="FF135AA3"/>
      </right>
      <top style="medium">
        <color rgb="FF135AA3"/>
      </top>
      <bottom/>
      <diagonal/>
    </border>
    <border>
      <left style="medium">
        <color rgb="FF135AA3"/>
      </left>
      <right/>
      <top/>
      <bottom/>
      <diagonal/>
    </border>
    <border>
      <left/>
      <right style="medium">
        <color rgb="FF135AA3"/>
      </right>
      <top/>
      <bottom/>
      <diagonal/>
    </border>
    <border>
      <left style="medium">
        <color rgb="FF135AA3"/>
      </left>
      <right/>
      <top/>
      <bottom style="medium">
        <color rgb="FF135AA3"/>
      </bottom>
      <diagonal/>
    </border>
    <border>
      <left/>
      <right style="medium">
        <color rgb="FF135AA3"/>
      </right>
      <top/>
      <bottom style="medium">
        <color rgb="FF135AA3"/>
      </bottom>
      <diagonal/>
    </border>
    <border>
      <left style="medium">
        <color rgb="FF6B2D84"/>
      </left>
      <right/>
      <top style="medium">
        <color rgb="FF6B2D84"/>
      </top>
      <bottom/>
      <diagonal/>
    </border>
    <border>
      <left/>
      <right style="medium">
        <color rgb="FF6B2D84"/>
      </right>
      <top style="medium">
        <color rgb="FF6B2D84"/>
      </top>
      <bottom/>
      <diagonal/>
    </border>
    <border>
      <left style="medium">
        <color rgb="FF6B2D84"/>
      </left>
      <right/>
      <top/>
      <bottom/>
      <diagonal/>
    </border>
    <border>
      <left/>
      <right style="medium">
        <color rgb="FF6B2D84"/>
      </right>
      <top/>
      <bottom/>
      <diagonal/>
    </border>
    <border>
      <left style="medium">
        <color rgb="FF6B2D84"/>
      </left>
      <right/>
      <top/>
      <bottom style="medium">
        <color rgb="FF6B2D84"/>
      </bottom>
      <diagonal/>
    </border>
    <border>
      <left/>
      <right style="medium">
        <color rgb="FF6B2D84"/>
      </right>
      <top/>
      <bottom style="medium">
        <color rgb="FF6B2D84"/>
      </bottom>
      <diagonal/>
    </border>
    <border>
      <left style="medium">
        <color rgb="FFF28C28"/>
      </left>
      <right/>
      <top style="medium">
        <color rgb="FFF28C28"/>
      </top>
      <bottom/>
      <diagonal/>
    </border>
    <border>
      <left/>
      <right style="medium">
        <color rgb="FFF28C28"/>
      </right>
      <top style="medium">
        <color rgb="FFF28C28"/>
      </top>
      <bottom/>
      <diagonal/>
    </border>
    <border>
      <left style="medium">
        <color rgb="FFF28C28"/>
      </left>
      <right/>
      <top/>
      <bottom/>
      <diagonal/>
    </border>
    <border>
      <left/>
      <right style="medium">
        <color rgb="FFF28C28"/>
      </right>
      <top/>
      <bottom/>
      <diagonal/>
    </border>
    <border>
      <left style="medium">
        <color rgb="FFF28C28"/>
      </left>
      <right/>
      <top/>
      <bottom style="medium">
        <color rgb="FFF28C28"/>
      </bottom>
      <diagonal/>
    </border>
    <border>
      <left/>
      <right style="medium">
        <color rgb="FFF28C28"/>
      </right>
      <top/>
      <bottom style="medium">
        <color rgb="FFF28C28"/>
      </bottom>
      <diagonal/>
    </border>
    <border>
      <left style="thin">
        <color rgb="FFB7C8DD"/>
      </left>
      <right style="thin">
        <color rgb="FFB7C8DD"/>
      </right>
      <top style="thin">
        <color rgb="FFB7C8DD"/>
      </top>
      <bottom style="thin">
        <color rgb="FFB7C8DD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medium">
        <color rgb="FFF28C28"/>
      </left>
      <right/>
      <top style="medium">
        <color rgb="FFF28C28"/>
      </top>
      <bottom style="medium">
        <color rgb="FFF28C28"/>
      </bottom>
      <diagonal/>
    </border>
    <border>
      <left/>
      <right/>
      <top style="medium">
        <color rgb="FFF28C28"/>
      </top>
      <bottom style="medium">
        <color rgb="FFF28C28"/>
      </bottom>
      <diagonal/>
    </border>
    <border>
      <left/>
      <right style="medium">
        <color rgb="FFF28C28"/>
      </right>
      <top style="medium">
        <color rgb="FFF28C28"/>
      </top>
      <bottom style="medium">
        <color rgb="FFF28C28"/>
      </bottom>
      <diagonal/>
    </border>
    <border>
      <left style="thin">
        <color rgb="FFB7C8DD"/>
      </left>
      <right style="thin">
        <color rgb="FFE5E7EB"/>
      </right>
      <top style="thin">
        <color rgb="FFB7C8DD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B7C8DD"/>
      </top>
      <bottom style="thin">
        <color rgb="FFE5E7EB"/>
      </bottom>
      <diagonal/>
    </border>
    <border>
      <left style="thin">
        <color rgb="FFE5E7EB"/>
      </left>
      <right style="thin">
        <color rgb="FFB7C8DD"/>
      </right>
      <top style="thin">
        <color rgb="FFB7C8DD"/>
      </top>
      <bottom style="thin">
        <color rgb="FFE5E7EB"/>
      </bottom>
      <diagonal/>
    </border>
    <border>
      <left style="thin">
        <color rgb="FFB7C8DD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B7C8DD"/>
      </right>
      <top style="thin">
        <color rgb="FFE5E7EB"/>
      </top>
      <bottom style="thin">
        <color rgb="FFE5E7EB"/>
      </bottom>
      <diagonal/>
    </border>
    <border>
      <left style="thin">
        <color rgb="FFB7C8DD"/>
      </left>
      <right style="thin">
        <color rgb="FFE5E7EB"/>
      </right>
      <top style="thin">
        <color rgb="FFE5E7EB"/>
      </top>
      <bottom style="thin">
        <color rgb="FFB7C8DD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B7C8DD"/>
      </bottom>
      <diagonal/>
    </border>
    <border>
      <left style="thin">
        <color rgb="FFE5E7EB"/>
      </left>
      <right style="thin">
        <color rgb="FFB7C8DD"/>
      </right>
      <top style="thin">
        <color rgb="FFE5E7EB"/>
      </top>
      <bottom style="thin">
        <color rgb="FFB7C8DD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2" fillId="7" borderId="25" xfId="0" applyFont="1" applyFill="1" applyBorder="1" applyAlignment="1">
      <alignment horizontal="center" vertical="top" wrapText="1"/>
    </xf>
    <xf numFmtId="0" fontId="3" fillId="0" borderId="26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3" fontId="3" fillId="0" borderId="27" xfId="0" applyNumberFormat="1" applyFont="1" applyBorder="1" applyAlignment="1">
      <alignment vertical="top"/>
    </xf>
    <xf numFmtId="164" fontId="3" fillId="0" borderId="28" xfId="0" applyNumberFormat="1" applyFont="1" applyBorder="1" applyAlignment="1">
      <alignment vertical="top"/>
    </xf>
    <xf numFmtId="0" fontId="3" fillId="0" borderId="28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0" fontId="3" fillId="0" borderId="30" xfId="0" applyFont="1" applyBorder="1" applyAlignment="1">
      <alignment vertical="top"/>
    </xf>
    <xf numFmtId="3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0" fontId="3" fillId="0" borderId="31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0" fontId="3" fillId="0" borderId="33" xfId="0" applyFont="1" applyBorder="1" applyAlignment="1">
      <alignment vertical="top"/>
    </xf>
    <xf numFmtId="3" fontId="3" fillId="0" borderId="33" xfId="0" applyNumberFormat="1" applyFont="1" applyBorder="1" applyAlignment="1">
      <alignment vertical="top"/>
    </xf>
    <xf numFmtId="164" fontId="3" fillId="0" borderId="34" xfId="0" applyNumberFormat="1" applyFont="1" applyBorder="1" applyAlignment="1">
      <alignment vertical="top"/>
    </xf>
    <xf numFmtId="0" fontId="3" fillId="0" borderId="34" xfId="0" applyFont="1" applyBorder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2" fillId="7" borderId="38" xfId="0" applyFont="1" applyFill="1" applyBorder="1" applyAlignment="1">
      <alignment horizontal="center" vertical="top" wrapText="1"/>
    </xf>
    <xf numFmtId="0" fontId="2" fillId="7" borderId="39" xfId="0" applyFont="1" applyFill="1" applyBorder="1" applyAlignment="1">
      <alignment horizontal="center" vertical="top" wrapText="1"/>
    </xf>
    <xf numFmtId="0" fontId="2" fillId="7" borderId="40" xfId="0" applyFont="1" applyFill="1" applyBorder="1" applyAlignment="1">
      <alignment horizontal="center" vertical="top" wrapText="1"/>
    </xf>
    <xf numFmtId="0" fontId="3" fillId="0" borderId="41" xfId="0" applyFont="1" applyBorder="1" applyAlignment="1">
      <alignment vertical="top"/>
    </xf>
    <xf numFmtId="164" fontId="3" fillId="0" borderId="30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3" fillId="0" borderId="43" xfId="0" applyFont="1" applyBorder="1" applyAlignment="1">
      <alignment vertical="top"/>
    </xf>
    <xf numFmtId="0" fontId="3" fillId="0" borderId="44" xfId="0" applyFont="1" applyBorder="1" applyAlignment="1">
      <alignment vertical="top"/>
    </xf>
    <xf numFmtId="3" fontId="3" fillId="0" borderId="44" xfId="0" applyNumberFormat="1" applyFont="1" applyBorder="1" applyAlignment="1">
      <alignment vertical="top"/>
    </xf>
    <xf numFmtId="164" fontId="3" fillId="0" borderId="44" xfId="0" applyNumberFormat="1" applyFont="1" applyBorder="1" applyAlignment="1">
      <alignment vertical="top"/>
    </xf>
    <xf numFmtId="0" fontId="3" fillId="0" borderId="45" xfId="0" applyFont="1" applyBorder="1" applyAlignment="1">
      <alignment vertical="top"/>
    </xf>
    <xf numFmtId="3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3" fontId="2" fillId="2" borderId="0" xfId="0" applyNumberFormat="1" applyFont="1" applyFill="1" applyAlignment="1">
      <alignment vertical="top"/>
    </xf>
    <xf numFmtId="164" fontId="2" fillId="2" borderId="0" xfId="0" applyNumberFormat="1" applyFont="1" applyFill="1" applyAlignment="1">
      <alignment vertical="top"/>
    </xf>
    <xf numFmtId="0" fontId="2" fillId="2" borderId="0" xfId="0" applyFont="1" applyFill="1" applyAlignment="1">
      <alignment horizontal="left" vertical="top"/>
    </xf>
    <xf numFmtId="0" fontId="1" fillId="3" borderId="0" xfId="0" applyFont="1" applyFill="1" applyAlignment="1">
      <alignment vertical="top"/>
    </xf>
    <xf numFmtId="0" fontId="2" fillId="4" borderId="0" xfId="0" applyFont="1" applyFill="1" applyAlignment="1">
      <alignment horizontal="center" vertical="top"/>
    </xf>
    <xf numFmtId="0" fontId="4" fillId="5" borderId="1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horizontal="center" vertical="top" wrapText="1"/>
    </xf>
    <xf numFmtId="0" fontId="4" fillId="5" borderId="4" xfId="0" applyFont="1" applyFill="1" applyBorder="1" applyAlignment="1">
      <alignment horizontal="center" vertical="top" wrapText="1"/>
    </xf>
    <xf numFmtId="0" fontId="4" fillId="5" borderId="5" xfId="0" applyFont="1" applyFill="1" applyBorder="1" applyAlignment="1">
      <alignment horizontal="center" vertical="top" wrapText="1"/>
    </xf>
    <xf numFmtId="0" fontId="4" fillId="5" borderId="6" xfId="0" applyFont="1" applyFill="1" applyBorder="1" applyAlignment="1">
      <alignment horizontal="center" vertical="top" wrapText="1"/>
    </xf>
    <xf numFmtId="0" fontId="5" fillId="5" borderId="7" xfId="0" applyFont="1" applyFill="1" applyBorder="1" applyAlignment="1">
      <alignment horizontal="center" vertical="top" wrapText="1"/>
    </xf>
    <xf numFmtId="0" fontId="5" fillId="5" borderId="8" xfId="0" applyFont="1" applyFill="1" applyBorder="1" applyAlignment="1">
      <alignment horizontal="center" vertical="top" wrapText="1"/>
    </xf>
    <xf numFmtId="0" fontId="5" fillId="5" borderId="9" xfId="0" applyFont="1" applyFill="1" applyBorder="1" applyAlignment="1">
      <alignment horizontal="center" vertical="top" wrapText="1"/>
    </xf>
    <xf numFmtId="0" fontId="5" fillId="5" borderId="10" xfId="0" applyFont="1" applyFill="1" applyBorder="1" applyAlignment="1">
      <alignment horizontal="center" vertical="top" wrapText="1"/>
    </xf>
    <xf numFmtId="0" fontId="5" fillId="5" borderId="11" xfId="0" applyFont="1" applyFill="1" applyBorder="1" applyAlignment="1">
      <alignment horizontal="center" vertical="top" wrapText="1"/>
    </xf>
    <xf numFmtId="0" fontId="5" fillId="5" borderId="12" xfId="0" applyFont="1" applyFill="1" applyBorder="1" applyAlignment="1">
      <alignment horizontal="center" vertical="top" wrapText="1"/>
    </xf>
    <xf numFmtId="0" fontId="6" fillId="5" borderId="13" xfId="0" applyFont="1" applyFill="1" applyBorder="1" applyAlignment="1">
      <alignment horizontal="center" vertical="top" wrapText="1"/>
    </xf>
    <xf numFmtId="0" fontId="6" fillId="5" borderId="14" xfId="0" applyFont="1" applyFill="1" applyBorder="1" applyAlignment="1">
      <alignment horizontal="center" vertical="top" wrapText="1"/>
    </xf>
    <xf numFmtId="0" fontId="6" fillId="5" borderId="15" xfId="0" applyFont="1" applyFill="1" applyBorder="1" applyAlignment="1">
      <alignment horizontal="center" vertical="top" wrapText="1"/>
    </xf>
    <xf numFmtId="0" fontId="6" fillId="5" borderId="16" xfId="0" applyFont="1" applyFill="1" applyBorder="1" applyAlignment="1">
      <alignment horizontal="center" vertical="top" wrapText="1"/>
    </xf>
    <xf numFmtId="0" fontId="6" fillId="5" borderId="17" xfId="0" applyFont="1" applyFill="1" applyBorder="1" applyAlignment="1">
      <alignment horizontal="center" vertical="top" wrapText="1"/>
    </xf>
    <xf numFmtId="0" fontId="6" fillId="5" borderId="18" xfId="0" applyFont="1" applyFill="1" applyBorder="1" applyAlignment="1">
      <alignment horizontal="center" vertical="top" wrapText="1"/>
    </xf>
    <xf numFmtId="0" fontId="7" fillId="5" borderId="19" xfId="0" applyFont="1" applyFill="1" applyBorder="1" applyAlignment="1">
      <alignment horizontal="center" vertical="top" wrapText="1"/>
    </xf>
    <xf numFmtId="0" fontId="7" fillId="5" borderId="20" xfId="0" applyFont="1" applyFill="1" applyBorder="1" applyAlignment="1">
      <alignment horizontal="center" vertical="top" wrapText="1"/>
    </xf>
    <xf numFmtId="0" fontId="7" fillId="5" borderId="21" xfId="0" applyFont="1" applyFill="1" applyBorder="1" applyAlignment="1">
      <alignment horizontal="center" vertical="top" wrapText="1"/>
    </xf>
    <xf numFmtId="0" fontId="7" fillId="5" borderId="22" xfId="0" applyFont="1" applyFill="1" applyBorder="1" applyAlignment="1">
      <alignment horizontal="center" vertical="top" wrapText="1"/>
    </xf>
    <xf numFmtId="0" fontId="7" fillId="5" borderId="23" xfId="0" applyFont="1" applyFill="1" applyBorder="1" applyAlignment="1">
      <alignment horizontal="center" vertical="top" wrapText="1"/>
    </xf>
    <xf numFmtId="0" fontId="7" fillId="5" borderId="24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vertical="top"/>
    </xf>
    <xf numFmtId="0" fontId="8" fillId="6" borderId="0" xfId="0" applyFont="1" applyFill="1" applyAlignment="1">
      <alignment vertical="top" wrapText="1"/>
    </xf>
    <xf numFmtId="0" fontId="9" fillId="8" borderId="35" xfId="0" applyFont="1" applyFill="1" applyBorder="1" applyAlignment="1">
      <alignment vertical="top" wrapText="1"/>
    </xf>
    <xf numFmtId="0" fontId="9" fillId="8" borderId="36" xfId="0" applyFont="1" applyFill="1" applyBorder="1" applyAlignment="1">
      <alignment vertical="top" wrapText="1"/>
    </xf>
    <xf numFmtId="0" fontId="9" fillId="8" borderId="37" xfId="0" applyFont="1" applyFill="1" applyBorder="1" applyAlignment="1">
      <alignment vertical="top" wrapText="1"/>
    </xf>
    <xf numFmtId="0" fontId="10" fillId="8" borderId="0" xfId="0" applyFont="1" applyFill="1" applyAlignment="1">
      <alignment vertical="top" wrapText="1"/>
    </xf>
    <xf numFmtId="0" fontId="8" fillId="8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BOH827FieldRegister" displayName="OPBOH827FieldRegister" ref="A4:K831" totalsRowShown="0">
  <autoFilter ref="A4:K831" xr:uid="{00000000-0009-0000-0100-000001000000}"/>
  <tableColumns count="11">
    <tableColumn id="1" xr3:uid="{00000000-0010-0000-0000-000001000000}" name="No."/>
    <tableColumn id="2" xr3:uid="{00000000-0010-0000-0000-000002000000}" name="Section"/>
    <tableColumn id="3" xr3:uid="{00000000-0010-0000-0000-000003000000}" name="Section Title"/>
    <tableColumn id="4" xr3:uid="{00000000-0010-0000-0000-000004000000}" name="Module Family"/>
    <tableColumn id="5" xr3:uid="{00000000-0010-0000-0000-000005000000}" name="WP Code"/>
    <tableColumn id="6" xr3:uid="{00000000-0010-0000-0000-000006000000}" name="Work Package"/>
    <tableColumn id="7" xr3:uid="{00000000-0010-0000-0000-000007000000}" name="Field Code"/>
    <tableColumn id="8" xr3:uid="{00000000-0010-0000-0000-000008000000}" name="Field Name"/>
    <tableColumn id="9" xr3:uid="{00000000-0010-0000-0000-000009000000}" name="Req."/>
    <tableColumn id="10" xr3:uid="{00000000-0010-0000-0000-00000A000000}" name="Data Type / Allowed Values"/>
    <tableColumn id="11" xr3:uid="{00000000-0010-0000-0000-00000B000000}" name="Validation and Assurance 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PBOH37WorkPackages" displayName="OPBOH37WorkPackages" ref="A4:F41" totalsRowShown="0">
  <tableColumns count="6">
    <tableColumn id="1" xr3:uid="{00000000-0010-0000-0100-000001000000}" name="WP Code"/>
    <tableColumn id="2" xr3:uid="{00000000-0010-0000-0100-000002000000}" name="Work Package"/>
    <tableColumn id="3" xr3:uid="{00000000-0010-0000-0100-000003000000}" name="First Field"/>
    <tableColumn id="4" xr3:uid="{00000000-0010-0000-0100-000004000000}" name="Last Field"/>
    <tableColumn id="5" xr3:uid="{00000000-0010-0000-0100-000005000000}" name="Field Count"/>
    <tableColumn id="6" xr3:uid="{00000000-0010-0000-0100-000006000000}" name="Control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topLeftCell="A8" workbookViewId="0">
      <selection sqref="A1:H1"/>
    </sheetView>
  </sheetViews>
  <sheetFormatPr defaultRowHeight="14"/>
  <cols>
    <col min="1" max="8" width="18" customWidth="1"/>
  </cols>
  <sheetData>
    <row r="1" spans="1:8" ht="30" customHeight="1">
      <c r="A1" s="37" t="s">
        <v>0</v>
      </c>
      <c r="B1" s="37"/>
      <c r="C1" s="37"/>
      <c r="D1" s="37"/>
      <c r="E1" s="37"/>
      <c r="F1" s="37"/>
      <c r="G1" s="37"/>
      <c r="H1" s="37"/>
    </row>
    <row r="2" spans="1:8" ht="30" customHeight="1">
      <c r="A2" s="38" t="s">
        <v>1</v>
      </c>
      <c r="B2" s="38"/>
      <c r="C2" s="38"/>
      <c r="D2" s="38"/>
      <c r="E2" s="38"/>
      <c r="F2" s="38"/>
      <c r="G2" s="38"/>
      <c r="H2" s="38"/>
    </row>
    <row r="3" spans="1:8" ht="22" customHeight="1">
      <c r="A3" s="39" t="s">
        <v>2</v>
      </c>
      <c r="B3" s="39"/>
      <c r="C3" s="39"/>
      <c r="D3" s="39"/>
      <c r="E3" s="39"/>
      <c r="F3" s="39"/>
      <c r="G3" s="39"/>
      <c r="H3" s="39"/>
    </row>
    <row r="4" spans="1:8" ht="22" customHeight="1">
      <c r="A4" s="1"/>
      <c r="B4" s="1"/>
      <c r="C4" s="1"/>
      <c r="D4" s="1"/>
      <c r="E4" s="1"/>
      <c r="F4" s="1"/>
      <c r="G4" s="1"/>
      <c r="H4" s="1"/>
    </row>
    <row r="5" spans="1:8" ht="34" customHeight="1">
      <c r="A5" s="40" t="s">
        <v>3</v>
      </c>
      <c r="B5" s="41"/>
      <c r="C5" s="46" t="s">
        <v>4</v>
      </c>
      <c r="D5" s="47"/>
      <c r="E5" s="52" t="s">
        <v>5</v>
      </c>
      <c r="F5" s="53"/>
      <c r="G5" s="58" t="s">
        <v>6</v>
      </c>
      <c r="H5" s="59"/>
    </row>
    <row r="6" spans="1:8" ht="34" customHeight="1">
      <c r="A6" s="42"/>
      <c r="B6" s="43"/>
      <c r="C6" s="48"/>
      <c r="D6" s="49"/>
      <c r="E6" s="54"/>
      <c r="F6" s="55"/>
      <c r="G6" s="60"/>
      <c r="H6" s="61"/>
    </row>
    <row r="7" spans="1:8" ht="34" customHeight="1">
      <c r="A7" s="44"/>
      <c r="B7" s="45"/>
      <c r="C7" s="50"/>
      <c r="D7" s="51"/>
      <c r="E7" s="56"/>
      <c r="F7" s="57"/>
      <c r="G7" s="62"/>
      <c r="H7" s="63"/>
    </row>
    <row r="8" spans="1:8" ht="22" customHeight="1">
      <c r="A8" s="1"/>
      <c r="B8" s="1"/>
      <c r="C8" s="1"/>
      <c r="D8" s="1"/>
      <c r="E8" s="1"/>
      <c r="F8" s="1"/>
      <c r="G8" s="1"/>
      <c r="H8" s="1"/>
    </row>
    <row r="9" spans="1:8" ht="22" customHeight="1">
      <c r="A9" s="64" t="s">
        <v>7</v>
      </c>
      <c r="B9" s="64"/>
      <c r="C9" s="64"/>
      <c r="D9" s="64"/>
      <c r="E9" s="64"/>
      <c r="F9" s="64"/>
      <c r="G9" s="64"/>
      <c r="H9" s="64"/>
    </row>
    <row r="10" spans="1:8" ht="28" customHeight="1">
      <c r="A10" s="65" t="s">
        <v>8</v>
      </c>
      <c r="B10" s="65"/>
      <c r="C10" s="65"/>
      <c r="D10" s="65"/>
      <c r="E10" s="65"/>
      <c r="F10" s="65"/>
      <c r="G10" s="65"/>
      <c r="H10" s="65"/>
    </row>
    <row r="11" spans="1:8" ht="28" customHeight="1">
      <c r="A11" s="65"/>
      <c r="B11" s="65"/>
      <c r="C11" s="65"/>
      <c r="D11" s="65"/>
      <c r="E11" s="65"/>
      <c r="F11" s="65"/>
      <c r="G11" s="65"/>
      <c r="H11" s="65"/>
    </row>
    <row r="12" spans="1:8" ht="28" customHeight="1">
      <c r="A12" s="65"/>
      <c r="B12" s="65"/>
      <c r="C12" s="65"/>
      <c r="D12" s="65"/>
      <c r="E12" s="65"/>
      <c r="F12" s="65"/>
      <c r="G12" s="65"/>
      <c r="H12" s="65"/>
    </row>
    <row r="13" spans="1:8" ht="22" customHeight="1">
      <c r="A13" s="1"/>
      <c r="B13" s="1"/>
      <c r="C13" s="1"/>
      <c r="D13" s="1"/>
      <c r="E13" s="1"/>
      <c r="F13" s="1"/>
      <c r="G13" s="1"/>
      <c r="H13" s="1"/>
    </row>
    <row r="14" spans="1:8" ht="22" customHeight="1">
      <c r="A14" s="3" t="s">
        <v>9</v>
      </c>
      <c r="B14" s="3" t="s">
        <v>10</v>
      </c>
      <c r="C14" s="3" t="s">
        <v>11</v>
      </c>
      <c r="D14" s="3" t="s">
        <v>12</v>
      </c>
      <c r="E14" s="1"/>
      <c r="F14" s="3" t="s">
        <v>13</v>
      </c>
      <c r="G14" s="3" t="s">
        <v>14</v>
      </c>
      <c r="H14" s="3" t="s">
        <v>15</v>
      </c>
    </row>
    <row r="15" spans="1:8" ht="22" customHeight="1">
      <c r="A15" s="4" t="s">
        <v>16</v>
      </c>
      <c r="B15" s="5" t="s">
        <v>17</v>
      </c>
      <c r="C15" s="6">
        <f>COUNTIF('827 Field Register'!$I$5:$I$831,A15)</f>
        <v>386</v>
      </c>
      <c r="D15" s="7">
        <f>C15/827</f>
        <v>0.4667472793228537</v>
      </c>
      <c r="E15" s="1"/>
      <c r="F15" s="4" t="s">
        <v>18</v>
      </c>
      <c r="G15" s="5" t="s">
        <v>19</v>
      </c>
      <c r="H15" s="8">
        <f>COUNTA('827 Field Register'!$G$5:$G$831)</f>
        <v>827</v>
      </c>
    </row>
    <row r="16" spans="1:8" ht="22" customHeight="1">
      <c r="A16" s="9" t="s">
        <v>20</v>
      </c>
      <c r="B16" s="10" t="s">
        <v>21</v>
      </c>
      <c r="C16" s="11">
        <f>COUNTIF('827 Field Register'!$I$5:$I$831,A16)</f>
        <v>232</v>
      </c>
      <c r="D16" s="12">
        <f>C16/827</f>
        <v>0.28053204353083433</v>
      </c>
      <c r="E16" s="1"/>
      <c r="F16" s="9" t="s">
        <v>22</v>
      </c>
      <c r="G16" s="10" t="s">
        <v>23</v>
      </c>
      <c r="H16" s="13">
        <f>COUNTA('827 Field Register'!$G$5:$G$831)</f>
        <v>827</v>
      </c>
    </row>
    <row r="17" spans="1:8" ht="22" customHeight="1">
      <c r="A17" s="9" t="s">
        <v>24</v>
      </c>
      <c r="B17" s="10" t="s">
        <v>25</v>
      </c>
      <c r="C17" s="11">
        <f>COUNTIF('827 Field Register'!$I$5:$I$831,A17)</f>
        <v>197</v>
      </c>
      <c r="D17" s="12">
        <f>C17/827</f>
        <v>0.23821039903264812</v>
      </c>
      <c r="E17" s="1"/>
      <c r="F17" s="9" t="s">
        <v>26</v>
      </c>
      <c r="G17" s="10" t="s">
        <v>27</v>
      </c>
      <c r="H17" s="13">
        <f>COUNTA('37 Work Packages'!$A$5:$A$41)</f>
        <v>37</v>
      </c>
    </row>
    <row r="18" spans="1:8" ht="22" customHeight="1">
      <c r="A18" s="14" t="s">
        <v>28</v>
      </c>
      <c r="B18" s="15" t="s">
        <v>29</v>
      </c>
      <c r="C18" s="16">
        <f>COUNTIF('827 Field Register'!$I$5:$I$831,A18)</f>
        <v>0</v>
      </c>
      <c r="D18" s="17">
        <f>C18/827</f>
        <v>0</v>
      </c>
      <c r="E18" s="1"/>
      <c r="F18" s="14" t="s">
        <v>30</v>
      </c>
      <c r="G18" s="15" t="s">
        <v>31</v>
      </c>
      <c r="H18" s="18">
        <f>COUNTBLANK('827 Field Register'!$G$5:$G$831)</f>
        <v>0</v>
      </c>
    </row>
    <row r="19" spans="1:8" ht="22" customHeight="1">
      <c r="A19" s="1"/>
      <c r="B19" s="1"/>
      <c r="C19" s="1"/>
      <c r="D19" s="1"/>
      <c r="E19" s="1"/>
      <c r="F19" s="1"/>
      <c r="G19" s="1"/>
      <c r="H19" s="1"/>
    </row>
    <row r="20" spans="1:8" ht="42" customHeight="1">
      <c r="A20" s="66" t="s">
        <v>32</v>
      </c>
      <c r="B20" s="67"/>
      <c r="C20" s="67"/>
      <c r="D20" s="67"/>
      <c r="E20" s="67"/>
      <c r="F20" s="67"/>
      <c r="G20" s="67"/>
      <c r="H20" s="68"/>
    </row>
  </sheetData>
  <mergeCells count="10">
    <mergeCell ref="A9:H9"/>
    <mergeCell ref="A10:H12"/>
    <mergeCell ref="A20:H20"/>
    <mergeCell ref="A1:H1"/>
    <mergeCell ref="A2:H2"/>
    <mergeCell ref="A3:H3"/>
    <mergeCell ref="A5:B7"/>
    <mergeCell ref="C5:D7"/>
    <mergeCell ref="E5:F7"/>
    <mergeCell ref="G5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31"/>
  <sheetViews>
    <sheetView showGridLines="0" topLeftCell="A825" workbookViewId="0">
      <selection activeCell="A830" sqref="A830"/>
    </sheetView>
  </sheetViews>
  <sheetFormatPr defaultRowHeight="14"/>
  <cols>
    <col min="1" max="1" width="8" customWidth="1"/>
    <col min="2" max="2" width="10" customWidth="1"/>
    <col min="3" max="3" width="28" customWidth="1"/>
    <col min="4" max="4" width="29" customWidth="1"/>
    <col min="5" max="5" width="11" customWidth="1"/>
    <col min="6" max="6" width="32" customWidth="1"/>
    <col min="7" max="7" width="15" customWidth="1"/>
    <col min="8" max="8" width="30" customWidth="1"/>
    <col min="9" max="9" width="9" customWidth="1"/>
    <col min="10" max="10" width="34" customWidth="1"/>
    <col min="11" max="11" width="58" customWidth="1"/>
  </cols>
  <sheetData>
    <row r="1" spans="1:11">
      <c r="A1" s="37" t="s">
        <v>33</v>
      </c>
      <c r="B1" s="37"/>
      <c r="C1" s="37"/>
      <c r="D1" s="37"/>
      <c r="E1" s="37"/>
      <c r="F1" s="37"/>
      <c r="G1" s="37"/>
      <c r="H1" s="37"/>
      <c r="I1" s="37"/>
      <c r="J1" s="37"/>
      <c r="K1" s="1"/>
    </row>
    <row r="2" spans="1:11">
      <c r="A2" s="38" t="s">
        <v>34</v>
      </c>
      <c r="B2" s="38"/>
      <c r="C2" s="38"/>
      <c r="D2" s="38"/>
      <c r="E2" s="38"/>
      <c r="F2" s="38"/>
      <c r="G2" s="38"/>
      <c r="H2" s="38"/>
      <c r="I2" s="38"/>
      <c r="J2" s="38"/>
      <c r="K2" s="1"/>
    </row>
    <row r="3" spans="1:11">
      <c r="A3" s="69" t="s">
        <v>35</v>
      </c>
      <c r="B3" s="69"/>
      <c r="C3" s="69"/>
      <c r="D3" s="69"/>
      <c r="E3" s="69"/>
      <c r="F3" s="69"/>
      <c r="G3" s="69"/>
      <c r="H3" s="69"/>
      <c r="I3" s="69"/>
      <c r="J3" s="69"/>
      <c r="K3" s="1"/>
    </row>
    <row r="4" spans="1:11" ht="42" customHeight="1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</row>
    <row r="5" spans="1:11" ht="46" customHeight="1">
      <c r="A5" s="19">
        <v>1</v>
      </c>
      <c r="B5" s="19" t="s">
        <v>47</v>
      </c>
      <c r="C5" s="20" t="s">
        <v>48</v>
      </c>
      <c r="D5" s="20" t="s">
        <v>48</v>
      </c>
      <c r="E5" s="21"/>
      <c r="F5" s="20"/>
      <c r="G5" s="19" t="s">
        <v>49</v>
      </c>
      <c r="H5" s="21" t="s">
        <v>50</v>
      </c>
      <c r="I5" s="21" t="s">
        <v>16</v>
      </c>
      <c r="J5" s="20" t="s">
        <v>51</v>
      </c>
      <c r="K5" s="20" t="s">
        <v>52</v>
      </c>
    </row>
    <row r="6" spans="1:11" ht="46" customHeight="1">
      <c r="A6" s="19">
        <v>2</v>
      </c>
      <c r="B6" s="19" t="s">
        <v>47</v>
      </c>
      <c r="C6" s="20" t="s">
        <v>48</v>
      </c>
      <c r="D6" s="20" t="s">
        <v>48</v>
      </c>
      <c r="E6" s="21"/>
      <c r="F6" s="20"/>
      <c r="G6" s="19" t="s">
        <v>53</v>
      </c>
      <c r="H6" s="21" t="s">
        <v>54</v>
      </c>
      <c r="I6" s="21" t="s">
        <v>16</v>
      </c>
      <c r="J6" s="20" t="s">
        <v>55</v>
      </c>
      <c r="K6" s="20" t="s">
        <v>56</v>
      </c>
    </row>
    <row r="7" spans="1:11" ht="46" customHeight="1">
      <c r="A7" s="19">
        <v>3</v>
      </c>
      <c r="B7" s="19" t="s">
        <v>47</v>
      </c>
      <c r="C7" s="20" t="s">
        <v>48</v>
      </c>
      <c r="D7" s="20" t="s">
        <v>48</v>
      </c>
      <c r="E7" s="21"/>
      <c r="F7" s="20"/>
      <c r="G7" s="19" t="s">
        <v>57</v>
      </c>
      <c r="H7" s="21" t="s">
        <v>58</v>
      </c>
      <c r="I7" s="21" t="s">
        <v>16</v>
      </c>
      <c r="J7" s="20" t="s">
        <v>55</v>
      </c>
      <c r="K7" s="20" t="s">
        <v>59</v>
      </c>
    </row>
    <row r="8" spans="1:11" ht="46" customHeight="1">
      <c r="A8" s="19">
        <v>4</v>
      </c>
      <c r="B8" s="19" t="s">
        <v>47</v>
      </c>
      <c r="C8" s="20" t="s">
        <v>48</v>
      </c>
      <c r="D8" s="20" t="s">
        <v>48</v>
      </c>
      <c r="E8" s="21"/>
      <c r="F8" s="20"/>
      <c r="G8" s="19" t="s">
        <v>60</v>
      </c>
      <c r="H8" s="21" t="s">
        <v>61</v>
      </c>
      <c r="I8" s="21" t="s">
        <v>16</v>
      </c>
      <c r="J8" s="20" t="s">
        <v>62</v>
      </c>
      <c r="K8" s="20" t="s">
        <v>63</v>
      </c>
    </row>
    <row r="9" spans="1:11" ht="46" customHeight="1">
      <c r="A9" s="19">
        <v>5</v>
      </c>
      <c r="B9" s="19" t="s">
        <v>47</v>
      </c>
      <c r="C9" s="20" t="s">
        <v>48</v>
      </c>
      <c r="D9" s="20" t="s">
        <v>48</v>
      </c>
      <c r="E9" s="21"/>
      <c r="F9" s="20"/>
      <c r="G9" s="19" t="s">
        <v>64</v>
      </c>
      <c r="H9" s="21" t="s">
        <v>65</v>
      </c>
      <c r="I9" s="21" t="s">
        <v>16</v>
      </c>
      <c r="J9" s="20" t="s">
        <v>66</v>
      </c>
      <c r="K9" s="20" t="s">
        <v>67</v>
      </c>
    </row>
    <row r="10" spans="1:11" ht="46" customHeight="1">
      <c r="A10" s="19">
        <v>6</v>
      </c>
      <c r="B10" s="19" t="s">
        <v>47</v>
      </c>
      <c r="C10" s="20" t="s">
        <v>48</v>
      </c>
      <c r="D10" s="20" t="s">
        <v>48</v>
      </c>
      <c r="E10" s="21"/>
      <c r="F10" s="20"/>
      <c r="G10" s="19" t="s">
        <v>68</v>
      </c>
      <c r="H10" s="21" t="s">
        <v>69</v>
      </c>
      <c r="I10" s="21" t="s">
        <v>24</v>
      </c>
      <c r="J10" s="20" t="s">
        <v>70</v>
      </c>
      <c r="K10" s="20" t="s">
        <v>71</v>
      </c>
    </row>
    <row r="11" spans="1:11" ht="46" customHeight="1">
      <c r="A11" s="19">
        <v>7</v>
      </c>
      <c r="B11" s="19" t="s">
        <v>47</v>
      </c>
      <c r="C11" s="20" t="s">
        <v>48</v>
      </c>
      <c r="D11" s="20" t="s">
        <v>48</v>
      </c>
      <c r="E11" s="21"/>
      <c r="F11" s="20"/>
      <c r="G11" s="19" t="s">
        <v>72</v>
      </c>
      <c r="H11" s="21" t="s">
        <v>73</v>
      </c>
      <c r="I11" s="21" t="s">
        <v>16</v>
      </c>
      <c r="J11" s="20" t="s">
        <v>74</v>
      </c>
      <c r="K11" s="20" t="s">
        <v>75</v>
      </c>
    </row>
    <row r="12" spans="1:11" ht="46" customHeight="1">
      <c r="A12" s="19">
        <v>8</v>
      </c>
      <c r="B12" s="19" t="s">
        <v>47</v>
      </c>
      <c r="C12" s="20" t="s">
        <v>48</v>
      </c>
      <c r="D12" s="20" t="s">
        <v>48</v>
      </c>
      <c r="E12" s="21"/>
      <c r="F12" s="20"/>
      <c r="G12" s="19" t="s">
        <v>76</v>
      </c>
      <c r="H12" s="21" t="s">
        <v>77</v>
      </c>
      <c r="I12" s="21" t="s">
        <v>16</v>
      </c>
      <c r="J12" s="20" t="s">
        <v>78</v>
      </c>
      <c r="K12" s="20" t="s">
        <v>79</v>
      </c>
    </row>
    <row r="13" spans="1:11" ht="46" customHeight="1">
      <c r="A13" s="19">
        <v>9</v>
      </c>
      <c r="B13" s="19" t="s">
        <v>47</v>
      </c>
      <c r="C13" s="20" t="s">
        <v>48</v>
      </c>
      <c r="D13" s="20" t="s">
        <v>48</v>
      </c>
      <c r="E13" s="21"/>
      <c r="F13" s="20"/>
      <c r="G13" s="19" t="s">
        <v>80</v>
      </c>
      <c r="H13" s="21" t="s">
        <v>81</v>
      </c>
      <c r="I13" s="21" t="s">
        <v>24</v>
      </c>
      <c r="J13" s="20" t="s">
        <v>78</v>
      </c>
      <c r="K13" s="20" t="s">
        <v>82</v>
      </c>
    </row>
    <row r="14" spans="1:11" ht="46" customHeight="1">
      <c r="A14" s="19">
        <v>10</v>
      </c>
      <c r="B14" s="19" t="s">
        <v>47</v>
      </c>
      <c r="C14" s="20" t="s">
        <v>48</v>
      </c>
      <c r="D14" s="20" t="s">
        <v>48</v>
      </c>
      <c r="E14" s="21"/>
      <c r="F14" s="20"/>
      <c r="G14" s="19" t="s">
        <v>83</v>
      </c>
      <c r="H14" s="21" t="s">
        <v>84</v>
      </c>
      <c r="I14" s="21" t="s">
        <v>16</v>
      </c>
      <c r="J14" s="20" t="s">
        <v>85</v>
      </c>
      <c r="K14" s="20" t="s">
        <v>86</v>
      </c>
    </row>
    <row r="15" spans="1:11" ht="46" customHeight="1">
      <c r="A15" s="19">
        <v>11</v>
      </c>
      <c r="B15" s="19" t="s">
        <v>47</v>
      </c>
      <c r="C15" s="20" t="s">
        <v>48</v>
      </c>
      <c r="D15" s="20" t="s">
        <v>48</v>
      </c>
      <c r="E15" s="21"/>
      <c r="F15" s="20"/>
      <c r="G15" s="19" t="s">
        <v>87</v>
      </c>
      <c r="H15" s="21" t="s">
        <v>88</v>
      </c>
      <c r="I15" s="21" t="s">
        <v>16</v>
      </c>
      <c r="J15" s="20" t="s">
        <v>89</v>
      </c>
      <c r="K15" s="20" t="s">
        <v>90</v>
      </c>
    </row>
    <row r="16" spans="1:11" ht="46" customHeight="1">
      <c r="A16" s="19">
        <v>12</v>
      </c>
      <c r="B16" s="19" t="s">
        <v>47</v>
      </c>
      <c r="C16" s="20" t="s">
        <v>48</v>
      </c>
      <c r="D16" s="20" t="s">
        <v>48</v>
      </c>
      <c r="E16" s="21"/>
      <c r="F16" s="20"/>
      <c r="G16" s="19" t="s">
        <v>91</v>
      </c>
      <c r="H16" s="21" t="s">
        <v>92</v>
      </c>
      <c r="I16" s="21" t="s">
        <v>16</v>
      </c>
      <c r="J16" s="20" t="s">
        <v>93</v>
      </c>
      <c r="K16" s="20" t="s">
        <v>94</v>
      </c>
    </row>
    <row r="17" spans="1:11" ht="46" customHeight="1">
      <c r="A17" s="19">
        <v>13</v>
      </c>
      <c r="B17" s="19" t="s">
        <v>47</v>
      </c>
      <c r="C17" s="20" t="s">
        <v>48</v>
      </c>
      <c r="D17" s="20" t="s">
        <v>48</v>
      </c>
      <c r="E17" s="21"/>
      <c r="F17" s="20"/>
      <c r="G17" s="19" t="s">
        <v>95</v>
      </c>
      <c r="H17" s="21" t="s">
        <v>96</v>
      </c>
      <c r="I17" s="21" t="s">
        <v>24</v>
      </c>
      <c r="J17" s="20" t="s">
        <v>97</v>
      </c>
      <c r="K17" s="20" t="s">
        <v>98</v>
      </c>
    </row>
    <row r="18" spans="1:11" ht="46" customHeight="1">
      <c r="A18" s="19">
        <v>14</v>
      </c>
      <c r="B18" s="19" t="s">
        <v>47</v>
      </c>
      <c r="C18" s="20" t="s">
        <v>48</v>
      </c>
      <c r="D18" s="20" t="s">
        <v>48</v>
      </c>
      <c r="E18" s="21"/>
      <c r="F18" s="20"/>
      <c r="G18" s="19" t="s">
        <v>99</v>
      </c>
      <c r="H18" s="21" t="s">
        <v>100</v>
      </c>
      <c r="I18" s="21" t="s">
        <v>16</v>
      </c>
      <c r="J18" s="20" t="s">
        <v>101</v>
      </c>
      <c r="K18" s="20" t="s">
        <v>102</v>
      </c>
    </row>
    <row r="19" spans="1:11" ht="46" customHeight="1">
      <c r="A19" s="19">
        <v>15</v>
      </c>
      <c r="B19" s="19" t="s">
        <v>47</v>
      </c>
      <c r="C19" s="20" t="s">
        <v>48</v>
      </c>
      <c r="D19" s="20" t="s">
        <v>48</v>
      </c>
      <c r="E19" s="21"/>
      <c r="F19" s="20"/>
      <c r="G19" s="19" t="s">
        <v>103</v>
      </c>
      <c r="H19" s="21" t="s">
        <v>104</v>
      </c>
      <c r="I19" s="21" t="s">
        <v>16</v>
      </c>
      <c r="J19" s="20" t="s">
        <v>101</v>
      </c>
      <c r="K19" s="20" t="s">
        <v>105</v>
      </c>
    </row>
    <row r="20" spans="1:11" ht="46" customHeight="1">
      <c r="A20" s="19">
        <v>16</v>
      </c>
      <c r="B20" s="19" t="s">
        <v>47</v>
      </c>
      <c r="C20" s="20" t="s">
        <v>48</v>
      </c>
      <c r="D20" s="20" t="s">
        <v>48</v>
      </c>
      <c r="E20" s="21"/>
      <c r="F20" s="20"/>
      <c r="G20" s="19" t="s">
        <v>106</v>
      </c>
      <c r="H20" s="21" t="s">
        <v>107</v>
      </c>
      <c r="I20" s="21" t="s">
        <v>16</v>
      </c>
      <c r="J20" s="20" t="s">
        <v>108</v>
      </c>
      <c r="K20" s="20" t="s">
        <v>109</v>
      </c>
    </row>
    <row r="21" spans="1:11" ht="46" customHeight="1">
      <c r="A21" s="19">
        <v>17</v>
      </c>
      <c r="B21" s="19" t="s">
        <v>47</v>
      </c>
      <c r="C21" s="20" t="s">
        <v>48</v>
      </c>
      <c r="D21" s="20" t="s">
        <v>48</v>
      </c>
      <c r="E21" s="21"/>
      <c r="F21" s="20"/>
      <c r="G21" s="19" t="s">
        <v>110</v>
      </c>
      <c r="H21" s="21" t="s">
        <v>111</v>
      </c>
      <c r="I21" s="21" t="s">
        <v>16</v>
      </c>
      <c r="J21" s="20" t="s">
        <v>112</v>
      </c>
      <c r="K21" s="20" t="s">
        <v>113</v>
      </c>
    </row>
    <row r="22" spans="1:11" ht="46" customHeight="1">
      <c r="A22" s="19">
        <v>18</v>
      </c>
      <c r="B22" s="19" t="s">
        <v>47</v>
      </c>
      <c r="C22" s="20" t="s">
        <v>48</v>
      </c>
      <c r="D22" s="20" t="s">
        <v>48</v>
      </c>
      <c r="E22" s="21"/>
      <c r="F22" s="20"/>
      <c r="G22" s="19" t="s">
        <v>114</v>
      </c>
      <c r="H22" s="21" t="s">
        <v>115</v>
      </c>
      <c r="I22" s="21" t="s">
        <v>24</v>
      </c>
      <c r="J22" s="20" t="s">
        <v>116</v>
      </c>
      <c r="K22" s="20" t="s">
        <v>117</v>
      </c>
    </row>
    <row r="23" spans="1:11" ht="46" customHeight="1">
      <c r="A23" s="19">
        <v>19</v>
      </c>
      <c r="B23" s="19" t="s">
        <v>47</v>
      </c>
      <c r="C23" s="20" t="s">
        <v>48</v>
      </c>
      <c r="D23" s="20" t="s">
        <v>48</v>
      </c>
      <c r="E23" s="21"/>
      <c r="F23" s="20"/>
      <c r="G23" s="19" t="s">
        <v>118</v>
      </c>
      <c r="H23" s="21" t="s">
        <v>119</v>
      </c>
      <c r="I23" s="21" t="s">
        <v>16</v>
      </c>
      <c r="J23" s="20" t="s">
        <v>120</v>
      </c>
      <c r="K23" s="20" t="s">
        <v>121</v>
      </c>
    </row>
    <row r="24" spans="1:11" ht="46" customHeight="1">
      <c r="A24" s="19">
        <v>20</v>
      </c>
      <c r="B24" s="19" t="s">
        <v>47</v>
      </c>
      <c r="C24" s="20" t="s">
        <v>48</v>
      </c>
      <c r="D24" s="20" t="s">
        <v>48</v>
      </c>
      <c r="E24" s="21"/>
      <c r="F24" s="20"/>
      <c r="G24" s="19" t="s">
        <v>122</v>
      </c>
      <c r="H24" s="21" t="s">
        <v>123</v>
      </c>
      <c r="I24" s="21" t="s">
        <v>24</v>
      </c>
      <c r="J24" s="20" t="s">
        <v>124</v>
      </c>
      <c r="K24" s="20" t="s">
        <v>125</v>
      </c>
    </row>
    <row r="25" spans="1:11" ht="46" customHeight="1">
      <c r="A25" s="19">
        <v>21</v>
      </c>
      <c r="B25" s="19" t="s">
        <v>47</v>
      </c>
      <c r="C25" s="20" t="s">
        <v>48</v>
      </c>
      <c r="D25" s="20" t="s">
        <v>48</v>
      </c>
      <c r="E25" s="21"/>
      <c r="F25" s="20"/>
      <c r="G25" s="19" t="s">
        <v>126</v>
      </c>
      <c r="H25" s="21" t="s">
        <v>127</v>
      </c>
      <c r="I25" s="21" t="s">
        <v>16</v>
      </c>
      <c r="J25" s="20" t="s">
        <v>128</v>
      </c>
      <c r="K25" s="20" t="s">
        <v>129</v>
      </c>
    </row>
    <row r="26" spans="1:11" ht="46" customHeight="1">
      <c r="A26" s="19">
        <v>22</v>
      </c>
      <c r="B26" s="19" t="s">
        <v>47</v>
      </c>
      <c r="C26" s="20" t="s">
        <v>48</v>
      </c>
      <c r="D26" s="20" t="s">
        <v>48</v>
      </c>
      <c r="E26" s="21"/>
      <c r="F26" s="20"/>
      <c r="G26" s="19" t="s">
        <v>130</v>
      </c>
      <c r="H26" s="21" t="s">
        <v>131</v>
      </c>
      <c r="I26" s="21" t="s">
        <v>24</v>
      </c>
      <c r="J26" s="20" t="s">
        <v>132</v>
      </c>
      <c r="K26" s="20" t="s">
        <v>133</v>
      </c>
    </row>
    <row r="27" spans="1:11" ht="46" customHeight="1">
      <c r="A27" s="19">
        <v>23</v>
      </c>
      <c r="B27" s="19" t="s">
        <v>47</v>
      </c>
      <c r="C27" s="20" t="s">
        <v>48</v>
      </c>
      <c r="D27" s="20" t="s">
        <v>48</v>
      </c>
      <c r="E27" s="21"/>
      <c r="F27" s="20"/>
      <c r="G27" s="19" t="s">
        <v>134</v>
      </c>
      <c r="H27" s="21" t="s">
        <v>135</v>
      </c>
      <c r="I27" s="21" t="s">
        <v>16</v>
      </c>
      <c r="J27" s="20" t="s">
        <v>136</v>
      </c>
      <c r="K27" s="20" t="s">
        <v>137</v>
      </c>
    </row>
    <row r="28" spans="1:11" ht="46" customHeight="1">
      <c r="A28" s="19">
        <v>24</v>
      </c>
      <c r="B28" s="19" t="s">
        <v>47</v>
      </c>
      <c r="C28" s="20" t="s">
        <v>48</v>
      </c>
      <c r="D28" s="20" t="s">
        <v>48</v>
      </c>
      <c r="E28" s="21"/>
      <c r="F28" s="20"/>
      <c r="G28" s="19" t="s">
        <v>138</v>
      </c>
      <c r="H28" s="21" t="s">
        <v>139</v>
      </c>
      <c r="I28" s="21" t="s">
        <v>24</v>
      </c>
      <c r="J28" s="20" t="s">
        <v>140</v>
      </c>
      <c r="K28" s="20" t="s">
        <v>141</v>
      </c>
    </row>
    <row r="29" spans="1:11" ht="46" customHeight="1">
      <c r="A29" s="19">
        <v>25</v>
      </c>
      <c r="B29" s="19" t="s">
        <v>47</v>
      </c>
      <c r="C29" s="20" t="s">
        <v>48</v>
      </c>
      <c r="D29" s="20" t="s">
        <v>48</v>
      </c>
      <c r="E29" s="21"/>
      <c r="F29" s="20"/>
      <c r="G29" s="19" t="s">
        <v>142</v>
      </c>
      <c r="H29" s="21" t="s">
        <v>143</v>
      </c>
      <c r="I29" s="21" t="s">
        <v>16</v>
      </c>
      <c r="J29" s="20" t="s">
        <v>144</v>
      </c>
      <c r="K29" s="20" t="s">
        <v>145</v>
      </c>
    </row>
    <row r="30" spans="1:11" ht="46" customHeight="1">
      <c r="A30" s="19">
        <v>26</v>
      </c>
      <c r="B30" s="19" t="s">
        <v>146</v>
      </c>
      <c r="C30" s="20" t="s">
        <v>147</v>
      </c>
      <c r="D30" s="20" t="s">
        <v>147</v>
      </c>
      <c r="E30" s="21"/>
      <c r="F30" s="20"/>
      <c r="G30" s="19" t="s">
        <v>148</v>
      </c>
      <c r="H30" s="21" t="s">
        <v>149</v>
      </c>
      <c r="I30" s="21" t="s">
        <v>16</v>
      </c>
      <c r="J30" s="20" t="s">
        <v>150</v>
      </c>
      <c r="K30" s="20" t="s">
        <v>151</v>
      </c>
    </row>
    <row r="31" spans="1:11" ht="46" customHeight="1">
      <c r="A31" s="19">
        <v>27</v>
      </c>
      <c r="B31" s="19" t="s">
        <v>146</v>
      </c>
      <c r="C31" s="20" t="s">
        <v>147</v>
      </c>
      <c r="D31" s="20" t="s">
        <v>147</v>
      </c>
      <c r="E31" s="21"/>
      <c r="F31" s="20"/>
      <c r="G31" s="19" t="s">
        <v>152</v>
      </c>
      <c r="H31" s="21" t="s">
        <v>153</v>
      </c>
      <c r="I31" s="21" t="s">
        <v>16</v>
      </c>
      <c r="J31" s="20" t="s">
        <v>154</v>
      </c>
      <c r="K31" s="20" t="s">
        <v>155</v>
      </c>
    </row>
    <row r="32" spans="1:11" ht="46" customHeight="1">
      <c r="A32" s="19">
        <v>28</v>
      </c>
      <c r="B32" s="19" t="s">
        <v>146</v>
      </c>
      <c r="C32" s="20" t="s">
        <v>147</v>
      </c>
      <c r="D32" s="20" t="s">
        <v>147</v>
      </c>
      <c r="E32" s="21"/>
      <c r="F32" s="20"/>
      <c r="G32" s="19" t="s">
        <v>156</v>
      </c>
      <c r="H32" s="21" t="s">
        <v>157</v>
      </c>
      <c r="I32" s="21" t="s">
        <v>16</v>
      </c>
      <c r="J32" s="20" t="s">
        <v>158</v>
      </c>
      <c r="K32" s="20" t="s">
        <v>159</v>
      </c>
    </row>
    <row r="33" spans="1:11" ht="46" customHeight="1">
      <c r="A33" s="19">
        <v>29</v>
      </c>
      <c r="B33" s="19" t="s">
        <v>146</v>
      </c>
      <c r="C33" s="20" t="s">
        <v>147</v>
      </c>
      <c r="D33" s="20" t="s">
        <v>147</v>
      </c>
      <c r="E33" s="21"/>
      <c r="F33" s="20"/>
      <c r="G33" s="19" t="s">
        <v>160</v>
      </c>
      <c r="H33" s="21" t="s">
        <v>161</v>
      </c>
      <c r="I33" s="21" t="s">
        <v>24</v>
      </c>
      <c r="J33" s="20" t="s">
        <v>158</v>
      </c>
      <c r="K33" s="20" t="s">
        <v>162</v>
      </c>
    </row>
    <row r="34" spans="1:11" ht="46" customHeight="1">
      <c r="A34" s="19">
        <v>30</v>
      </c>
      <c r="B34" s="19" t="s">
        <v>146</v>
      </c>
      <c r="C34" s="20" t="s">
        <v>147</v>
      </c>
      <c r="D34" s="20" t="s">
        <v>147</v>
      </c>
      <c r="E34" s="21"/>
      <c r="F34" s="20"/>
      <c r="G34" s="19" t="s">
        <v>163</v>
      </c>
      <c r="H34" s="21" t="s">
        <v>164</v>
      </c>
      <c r="I34" s="21" t="s">
        <v>16</v>
      </c>
      <c r="J34" s="20" t="s">
        <v>165</v>
      </c>
      <c r="K34" s="20" t="s">
        <v>166</v>
      </c>
    </row>
    <row r="35" spans="1:11" ht="46" customHeight="1">
      <c r="A35" s="19">
        <v>31</v>
      </c>
      <c r="B35" s="19" t="s">
        <v>146</v>
      </c>
      <c r="C35" s="20" t="s">
        <v>147</v>
      </c>
      <c r="D35" s="20" t="s">
        <v>147</v>
      </c>
      <c r="E35" s="21"/>
      <c r="F35" s="20"/>
      <c r="G35" s="19" t="s">
        <v>167</v>
      </c>
      <c r="H35" s="21" t="s">
        <v>168</v>
      </c>
      <c r="I35" s="21" t="s">
        <v>16</v>
      </c>
      <c r="J35" s="20" t="s">
        <v>169</v>
      </c>
      <c r="K35" s="20" t="s">
        <v>170</v>
      </c>
    </row>
    <row r="36" spans="1:11" ht="46" customHeight="1">
      <c r="A36" s="19">
        <v>32</v>
      </c>
      <c r="B36" s="19" t="s">
        <v>146</v>
      </c>
      <c r="C36" s="20" t="s">
        <v>147</v>
      </c>
      <c r="D36" s="20" t="s">
        <v>147</v>
      </c>
      <c r="E36" s="21"/>
      <c r="F36" s="20"/>
      <c r="G36" s="19" t="s">
        <v>171</v>
      </c>
      <c r="H36" s="21" t="s">
        <v>172</v>
      </c>
      <c r="I36" s="21" t="s">
        <v>16</v>
      </c>
      <c r="J36" s="20" t="s">
        <v>173</v>
      </c>
      <c r="K36" s="20" t="s">
        <v>174</v>
      </c>
    </row>
    <row r="37" spans="1:11" ht="46" customHeight="1">
      <c r="A37" s="19">
        <v>33</v>
      </c>
      <c r="B37" s="19" t="s">
        <v>146</v>
      </c>
      <c r="C37" s="20" t="s">
        <v>147</v>
      </c>
      <c r="D37" s="20" t="s">
        <v>147</v>
      </c>
      <c r="E37" s="21"/>
      <c r="F37" s="20"/>
      <c r="G37" s="19" t="s">
        <v>175</v>
      </c>
      <c r="H37" s="21" t="s">
        <v>176</v>
      </c>
      <c r="I37" s="21" t="s">
        <v>16</v>
      </c>
      <c r="J37" s="20" t="s">
        <v>177</v>
      </c>
      <c r="K37" s="20" t="s">
        <v>178</v>
      </c>
    </row>
    <row r="38" spans="1:11" ht="46" customHeight="1">
      <c r="A38" s="19">
        <v>34</v>
      </c>
      <c r="B38" s="19" t="s">
        <v>146</v>
      </c>
      <c r="C38" s="20" t="s">
        <v>147</v>
      </c>
      <c r="D38" s="20" t="s">
        <v>147</v>
      </c>
      <c r="E38" s="21"/>
      <c r="F38" s="20"/>
      <c r="G38" s="19" t="s">
        <v>179</v>
      </c>
      <c r="H38" s="21" t="s">
        <v>180</v>
      </c>
      <c r="I38" s="21" t="s">
        <v>16</v>
      </c>
      <c r="J38" s="20" t="s">
        <v>181</v>
      </c>
      <c r="K38" s="20" t="s">
        <v>182</v>
      </c>
    </row>
    <row r="39" spans="1:11" ht="46" customHeight="1">
      <c r="A39" s="19">
        <v>35</v>
      </c>
      <c r="B39" s="19" t="s">
        <v>146</v>
      </c>
      <c r="C39" s="20" t="s">
        <v>147</v>
      </c>
      <c r="D39" s="20" t="s">
        <v>147</v>
      </c>
      <c r="E39" s="21"/>
      <c r="F39" s="20"/>
      <c r="G39" s="19" t="s">
        <v>183</v>
      </c>
      <c r="H39" s="21" t="s">
        <v>184</v>
      </c>
      <c r="I39" s="21" t="s">
        <v>16</v>
      </c>
      <c r="J39" s="20" t="s">
        <v>181</v>
      </c>
      <c r="K39" s="20" t="s">
        <v>185</v>
      </c>
    </row>
    <row r="40" spans="1:11" ht="46" customHeight="1">
      <c r="A40" s="19">
        <v>36</v>
      </c>
      <c r="B40" s="19" t="s">
        <v>146</v>
      </c>
      <c r="C40" s="20" t="s">
        <v>147</v>
      </c>
      <c r="D40" s="20" t="s">
        <v>147</v>
      </c>
      <c r="E40" s="21"/>
      <c r="F40" s="20"/>
      <c r="G40" s="19" t="s">
        <v>186</v>
      </c>
      <c r="H40" s="21" t="s">
        <v>187</v>
      </c>
      <c r="I40" s="21" t="s">
        <v>16</v>
      </c>
      <c r="J40" s="20" t="s">
        <v>70</v>
      </c>
      <c r="K40" s="20" t="s">
        <v>188</v>
      </c>
    </row>
    <row r="41" spans="1:11" ht="46" customHeight="1">
      <c r="A41" s="19">
        <v>37</v>
      </c>
      <c r="B41" s="19" t="s">
        <v>146</v>
      </c>
      <c r="C41" s="20" t="s">
        <v>147</v>
      </c>
      <c r="D41" s="20" t="s">
        <v>147</v>
      </c>
      <c r="E41" s="21"/>
      <c r="F41" s="20"/>
      <c r="G41" s="19" t="s">
        <v>189</v>
      </c>
      <c r="H41" s="21" t="s">
        <v>190</v>
      </c>
      <c r="I41" s="21" t="s">
        <v>16</v>
      </c>
      <c r="J41" s="20" t="s">
        <v>191</v>
      </c>
      <c r="K41" s="20" t="s">
        <v>192</v>
      </c>
    </row>
    <row r="42" spans="1:11" ht="46" customHeight="1">
      <c r="A42" s="19">
        <v>38</v>
      </c>
      <c r="B42" s="19" t="s">
        <v>146</v>
      </c>
      <c r="C42" s="20" t="s">
        <v>147</v>
      </c>
      <c r="D42" s="20" t="s">
        <v>147</v>
      </c>
      <c r="E42" s="21"/>
      <c r="F42" s="20"/>
      <c r="G42" s="19" t="s">
        <v>193</v>
      </c>
      <c r="H42" s="21" t="s">
        <v>194</v>
      </c>
      <c r="I42" s="21" t="s">
        <v>16</v>
      </c>
      <c r="J42" s="20" t="s">
        <v>195</v>
      </c>
      <c r="K42" s="20" t="s">
        <v>196</v>
      </c>
    </row>
    <row r="43" spans="1:11" ht="46" customHeight="1">
      <c r="A43" s="19">
        <v>39</v>
      </c>
      <c r="B43" s="19" t="s">
        <v>146</v>
      </c>
      <c r="C43" s="20" t="s">
        <v>147</v>
      </c>
      <c r="D43" s="20" t="s">
        <v>147</v>
      </c>
      <c r="E43" s="21"/>
      <c r="F43" s="20"/>
      <c r="G43" s="19" t="s">
        <v>197</v>
      </c>
      <c r="H43" s="21" t="s">
        <v>198</v>
      </c>
      <c r="I43" s="21" t="s">
        <v>24</v>
      </c>
      <c r="J43" s="20" t="s">
        <v>70</v>
      </c>
      <c r="K43" s="20" t="s">
        <v>199</v>
      </c>
    </row>
    <row r="44" spans="1:11" ht="46" customHeight="1">
      <c r="A44" s="19">
        <v>40</v>
      </c>
      <c r="B44" s="19" t="s">
        <v>146</v>
      </c>
      <c r="C44" s="20" t="s">
        <v>147</v>
      </c>
      <c r="D44" s="20" t="s">
        <v>147</v>
      </c>
      <c r="E44" s="21"/>
      <c r="F44" s="20"/>
      <c r="G44" s="19" t="s">
        <v>200</v>
      </c>
      <c r="H44" s="21" t="s">
        <v>201</v>
      </c>
      <c r="I44" s="21" t="s">
        <v>16</v>
      </c>
      <c r="J44" s="20" t="s">
        <v>202</v>
      </c>
      <c r="K44" s="20" t="s">
        <v>203</v>
      </c>
    </row>
    <row r="45" spans="1:11" ht="46" customHeight="1">
      <c r="A45" s="19">
        <v>41</v>
      </c>
      <c r="B45" s="19" t="s">
        <v>146</v>
      </c>
      <c r="C45" s="20" t="s">
        <v>147</v>
      </c>
      <c r="D45" s="20" t="s">
        <v>147</v>
      </c>
      <c r="E45" s="21"/>
      <c r="F45" s="20"/>
      <c r="G45" s="19" t="s">
        <v>204</v>
      </c>
      <c r="H45" s="21" t="s">
        <v>205</v>
      </c>
      <c r="I45" s="21" t="s">
        <v>16</v>
      </c>
      <c r="J45" s="20" t="s">
        <v>206</v>
      </c>
      <c r="K45" s="20" t="s">
        <v>207</v>
      </c>
    </row>
    <row r="46" spans="1:11" ht="46" customHeight="1">
      <c r="A46" s="19">
        <v>42</v>
      </c>
      <c r="B46" s="19" t="s">
        <v>146</v>
      </c>
      <c r="C46" s="20" t="s">
        <v>147</v>
      </c>
      <c r="D46" s="20" t="s">
        <v>147</v>
      </c>
      <c r="E46" s="21"/>
      <c r="F46" s="20"/>
      <c r="G46" s="19" t="s">
        <v>208</v>
      </c>
      <c r="H46" s="21" t="s">
        <v>209</v>
      </c>
      <c r="I46" s="21" t="s">
        <v>16</v>
      </c>
      <c r="J46" s="20" t="s">
        <v>210</v>
      </c>
      <c r="K46" s="20" t="s">
        <v>211</v>
      </c>
    </row>
    <row r="47" spans="1:11" ht="46" customHeight="1">
      <c r="A47" s="19">
        <v>43</v>
      </c>
      <c r="B47" s="19" t="s">
        <v>146</v>
      </c>
      <c r="C47" s="20" t="s">
        <v>147</v>
      </c>
      <c r="D47" s="20" t="s">
        <v>147</v>
      </c>
      <c r="E47" s="21"/>
      <c r="F47" s="20"/>
      <c r="G47" s="19" t="s">
        <v>212</v>
      </c>
      <c r="H47" s="21" t="s">
        <v>213</v>
      </c>
      <c r="I47" s="21" t="s">
        <v>16</v>
      </c>
      <c r="J47" s="20" t="s">
        <v>214</v>
      </c>
      <c r="K47" s="20" t="s">
        <v>215</v>
      </c>
    </row>
    <row r="48" spans="1:11" ht="46" customHeight="1">
      <c r="A48" s="19">
        <v>44</v>
      </c>
      <c r="B48" s="19" t="s">
        <v>146</v>
      </c>
      <c r="C48" s="20" t="s">
        <v>147</v>
      </c>
      <c r="D48" s="20" t="s">
        <v>147</v>
      </c>
      <c r="E48" s="21"/>
      <c r="F48" s="20"/>
      <c r="G48" s="19" t="s">
        <v>216</v>
      </c>
      <c r="H48" s="21" t="s">
        <v>217</v>
      </c>
      <c r="I48" s="21" t="s">
        <v>16</v>
      </c>
      <c r="J48" s="20" t="s">
        <v>218</v>
      </c>
      <c r="K48" s="20" t="s">
        <v>219</v>
      </c>
    </row>
    <row r="49" spans="1:11" ht="46" customHeight="1">
      <c r="A49" s="19">
        <v>45</v>
      </c>
      <c r="B49" s="19" t="s">
        <v>146</v>
      </c>
      <c r="C49" s="20" t="s">
        <v>147</v>
      </c>
      <c r="D49" s="20" t="s">
        <v>147</v>
      </c>
      <c r="E49" s="21"/>
      <c r="F49" s="20"/>
      <c r="G49" s="19" t="s">
        <v>220</v>
      </c>
      <c r="H49" s="21" t="s">
        <v>221</v>
      </c>
      <c r="I49" s="21" t="s">
        <v>24</v>
      </c>
      <c r="J49" s="20" t="s">
        <v>222</v>
      </c>
      <c r="K49" s="20" t="s">
        <v>223</v>
      </c>
    </row>
    <row r="50" spans="1:11" ht="46" customHeight="1">
      <c r="A50" s="19">
        <v>46</v>
      </c>
      <c r="B50" s="19" t="s">
        <v>146</v>
      </c>
      <c r="C50" s="20" t="s">
        <v>147</v>
      </c>
      <c r="D50" s="20" t="s">
        <v>147</v>
      </c>
      <c r="E50" s="21"/>
      <c r="F50" s="20"/>
      <c r="G50" s="19" t="s">
        <v>224</v>
      </c>
      <c r="H50" s="21" t="s">
        <v>225</v>
      </c>
      <c r="I50" s="21" t="s">
        <v>24</v>
      </c>
      <c r="J50" s="20" t="s">
        <v>222</v>
      </c>
      <c r="K50" s="20" t="s">
        <v>226</v>
      </c>
    </row>
    <row r="51" spans="1:11" ht="46" customHeight="1">
      <c r="A51" s="19">
        <v>47</v>
      </c>
      <c r="B51" s="19" t="s">
        <v>146</v>
      </c>
      <c r="C51" s="20" t="s">
        <v>147</v>
      </c>
      <c r="D51" s="20" t="s">
        <v>147</v>
      </c>
      <c r="E51" s="21"/>
      <c r="F51" s="20"/>
      <c r="G51" s="19" t="s">
        <v>227</v>
      </c>
      <c r="H51" s="21" t="s">
        <v>228</v>
      </c>
      <c r="I51" s="21" t="s">
        <v>24</v>
      </c>
      <c r="J51" s="20" t="s">
        <v>229</v>
      </c>
      <c r="K51" s="20" t="s">
        <v>230</v>
      </c>
    </row>
    <row r="52" spans="1:11" ht="46" customHeight="1">
      <c r="A52" s="19">
        <v>48</v>
      </c>
      <c r="B52" s="19" t="s">
        <v>146</v>
      </c>
      <c r="C52" s="20" t="s">
        <v>147</v>
      </c>
      <c r="D52" s="20" t="s">
        <v>147</v>
      </c>
      <c r="E52" s="21"/>
      <c r="F52" s="20"/>
      <c r="G52" s="19" t="s">
        <v>231</v>
      </c>
      <c r="H52" s="21" t="s">
        <v>232</v>
      </c>
      <c r="I52" s="21" t="s">
        <v>16</v>
      </c>
      <c r="J52" s="20" t="s">
        <v>233</v>
      </c>
      <c r="K52" s="20" t="s">
        <v>234</v>
      </c>
    </row>
    <row r="53" spans="1:11" ht="46" customHeight="1">
      <c r="A53" s="19">
        <v>49</v>
      </c>
      <c r="B53" s="19" t="s">
        <v>146</v>
      </c>
      <c r="C53" s="20" t="s">
        <v>147</v>
      </c>
      <c r="D53" s="20" t="s">
        <v>147</v>
      </c>
      <c r="E53" s="21"/>
      <c r="F53" s="20"/>
      <c r="G53" s="19" t="s">
        <v>235</v>
      </c>
      <c r="H53" s="21" t="s">
        <v>236</v>
      </c>
      <c r="I53" s="21" t="s">
        <v>16</v>
      </c>
      <c r="J53" s="20" t="s">
        <v>237</v>
      </c>
      <c r="K53" s="20" t="s">
        <v>238</v>
      </c>
    </row>
    <row r="54" spans="1:11" ht="46" customHeight="1">
      <c r="A54" s="19">
        <v>50</v>
      </c>
      <c r="B54" s="19" t="s">
        <v>146</v>
      </c>
      <c r="C54" s="20" t="s">
        <v>147</v>
      </c>
      <c r="D54" s="20" t="s">
        <v>147</v>
      </c>
      <c r="E54" s="21"/>
      <c r="F54" s="20"/>
      <c r="G54" s="19" t="s">
        <v>239</v>
      </c>
      <c r="H54" s="21" t="s">
        <v>240</v>
      </c>
      <c r="I54" s="21" t="s">
        <v>16</v>
      </c>
      <c r="J54" s="20" t="s">
        <v>241</v>
      </c>
      <c r="K54" s="20" t="s">
        <v>242</v>
      </c>
    </row>
    <row r="55" spans="1:11" ht="46" customHeight="1">
      <c r="A55" s="19">
        <v>51</v>
      </c>
      <c r="B55" s="19" t="s">
        <v>243</v>
      </c>
      <c r="C55" s="20" t="s">
        <v>244</v>
      </c>
      <c r="D55" s="20" t="s">
        <v>244</v>
      </c>
      <c r="E55" s="21"/>
      <c r="F55" s="20"/>
      <c r="G55" s="19" t="s">
        <v>245</v>
      </c>
      <c r="H55" s="21" t="s">
        <v>246</v>
      </c>
      <c r="I55" s="21" t="s">
        <v>16</v>
      </c>
      <c r="J55" s="20" t="s">
        <v>158</v>
      </c>
      <c r="K55" s="20" t="s">
        <v>247</v>
      </c>
    </row>
    <row r="56" spans="1:11" ht="46" customHeight="1">
      <c r="A56" s="19">
        <v>52</v>
      </c>
      <c r="B56" s="19" t="s">
        <v>243</v>
      </c>
      <c r="C56" s="20" t="s">
        <v>244</v>
      </c>
      <c r="D56" s="20" t="s">
        <v>244</v>
      </c>
      <c r="E56" s="21"/>
      <c r="F56" s="20"/>
      <c r="G56" s="19" t="s">
        <v>248</v>
      </c>
      <c r="H56" s="21" t="s">
        <v>249</v>
      </c>
      <c r="I56" s="21" t="s">
        <v>24</v>
      </c>
      <c r="J56" s="20" t="s">
        <v>158</v>
      </c>
      <c r="K56" s="20" t="s">
        <v>250</v>
      </c>
    </row>
    <row r="57" spans="1:11" ht="46" customHeight="1">
      <c r="A57" s="19">
        <v>53</v>
      </c>
      <c r="B57" s="19" t="s">
        <v>243</v>
      </c>
      <c r="C57" s="20" t="s">
        <v>244</v>
      </c>
      <c r="D57" s="20" t="s">
        <v>244</v>
      </c>
      <c r="E57" s="21"/>
      <c r="F57" s="20"/>
      <c r="G57" s="19" t="s">
        <v>251</v>
      </c>
      <c r="H57" s="21" t="s">
        <v>252</v>
      </c>
      <c r="I57" s="21" t="s">
        <v>16</v>
      </c>
      <c r="J57" s="20" t="s">
        <v>253</v>
      </c>
      <c r="K57" s="20" t="s">
        <v>254</v>
      </c>
    </row>
    <row r="58" spans="1:11" ht="46" customHeight="1">
      <c r="A58" s="19">
        <v>54</v>
      </c>
      <c r="B58" s="19" t="s">
        <v>243</v>
      </c>
      <c r="C58" s="20" t="s">
        <v>244</v>
      </c>
      <c r="D58" s="20" t="s">
        <v>244</v>
      </c>
      <c r="E58" s="21"/>
      <c r="F58" s="20"/>
      <c r="G58" s="19" t="s">
        <v>255</v>
      </c>
      <c r="H58" s="21" t="s">
        <v>256</v>
      </c>
      <c r="I58" s="21" t="s">
        <v>16</v>
      </c>
      <c r="J58" s="20" t="s">
        <v>257</v>
      </c>
      <c r="K58" s="20" t="s">
        <v>258</v>
      </c>
    </row>
    <row r="59" spans="1:11" ht="46" customHeight="1">
      <c r="A59" s="19">
        <v>55</v>
      </c>
      <c r="B59" s="19" t="s">
        <v>243</v>
      </c>
      <c r="C59" s="20" t="s">
        <v>244</v>
      </c>
      <c r="D59" s="20" t="s">
        <v>244</v>
      </c>
      <c r="E59" s="21"/>
      <c r="F59" s="20"/>
      <c r="G59" s="19" t="s">
        <v>259</v>
      </c>
      <c r="H59" s="21" t="s">
        <v>260</v>
      </c>
      <c r="I59" s="21" t="s">
        <v>16</v>
      </c>
      <c r="J59" s="20" t="s">
        <v>261</v>
      </c>
      <c r="K59" s="20" t="s">
        <v>262</v>
      </c>
    </row>
    <row r="60" spans="1:11" ht="46" customHeight="1">
      <c r="A60" s="19">
        <v>56</v>
      </c>
      <c r="B60" s="19" t="s">
        <v>243</v>
      </c>
      <c r="C60" s="20" t="s">
        <v>244</v>
      </c>
      <c r="D60" s="20" t="s">
        <v>244</v>
      </c>
      <c r="E60" s="21"/>
      <c r="F60" s="20"/>
      <c r="G60" s="19" t="s">
        <v>263</v>
      </c>
      <c r="H60" s="21" t="s">
        <v>264</v>
      </c>
      <c r="I60" s="21" t="s">
        <v>16</v>
      </c>
      <c r="J60" s="20" t="s">
        <v>265</v>
      </c>
      <c r="K60" s="20" t="s">
        <v>266</v>
      </c>
    </row>
    <row r="61" spans="1:11" ht="46" customHeight="1">
      <c r="A61" s="19">
        <v>57</v>
      </c>
      <c r="B61" s="19" t="s">
        <v>243</v>
      </c>
      <c r="C61" s="20" t="s">
        <v>244</v>
      </c>
      <c r="D61" s="20" t="s">
        <v>244</v>
      </c>
      <c r="E61" s="21"/>
      <c r="F61" s="20"/>
      <c r="G61" s="19" t="s">
        <v>267</v>
      </c>
      <c r="H61" s="21" t="s">
        <v>268</v>
      </c>
      <c r="I61" s="21" t="s">
        <v>16</v>
      </c>
      <c r="J61" s="20" t="s">
        <v>269</v>
      </c>
      <c r="K61" s="20" t="s">
        <v>270</v>
      </c>
    </row>
    <row r="62" spans="1:11" ht="46" customHeight="1">
      <c r="A62" s="19">
        <v>58</v>
      </c>
      <c r="B62" s="19" t="s">
        <v>243</v>
      </c>
      <c r="C62" s="20" t="s">
        <v>244</v>
      </c>
      <c r="D62" s="20" t="s">
        <v>244</v>
      </c>
      <c r="E62" s="21"/>
      <c r="F62" s="20"/>
      <c r="G62" s="19" t="s">
        <v>271</v>
      </c>
      <c r="H62" s="21" t="s">
        <v>272</v>
      </c>
      <c r="I62" s="21" t="s">
        <v>16</v>
      </c>
      <c r="J62" s="20" t="s">
        <v>273</v>
      </c>
      <c r="K62" s="20" t="s">
        <v>274</v>
      </c>
    </row>
    <row r="63" spans="1:11" ht="46" customHeight="1">
      <c r="A63" s="19">
        <v>59</v>
      </c>
      <c r="B63" s="19" t="s">
        <v>243</v>
      </c>
      <c r="C63" s="20" t="s">
        <v>244</v>
      </c>
      <c r="D63" s="20" t="s">
        <v>244</v>
      </c>
      <c r="E63" s="21"/>
      <c r="F63" s="20"/>
      <c r="G63" s="19" t="s">
        <v>275</v>
      </c>
      <c r="H63" s="21" t="s">
        <v>276</v>
      </c>
      <c r="I63" s="21" t="s">
        <v>16</v>
      </c>
      <c r="J63" s="20" t="s">
        <v>277</v>
      </c>
      <c r="K63" s="20" t="s">
        <v>278</v>
      </c>
    </row>
    <row r="64" spans="1:11" ht="46" customHeight="1">
      <c r="A64" s="19">
        <v>60</v>
      </c>
      <c r="B64" s="19" t="s">
        <v>243</v>
      </c>
      <c r="C64" s="20" t="s">
        <v>244</v>
      </c>
      <c r="D64" s="20" t="s">
        <v>244</v>
      </c>
      <c r="E64" s="21"/>
      <c r="F64" s="20"/>
      <c r="G64" s="19" t="s">
        <v>279</v>
      </c>
      <c r="H64" s="21" t="s">
        <v>280</v>
      </c>
      <c r="I64" s="21" t="s">
        <v>16</v>
      </c>
      <c r="J64" s="20" t="s">
        <v>281</v>
      </c>
      <c r="K64" s="20" t="s">
        <v>282</v>
      </c>
    </row>
    <row r="65" spans="1:11" ht="46" customHeight="1">
      <c r="A65" s="19">
        <v>61</v>
      </c>
      <c r="B65" s="19" t="s">
        <v>243</v>
      </c>
      <c r="C65" s="20" t="s">
        <v>244</v>
      </c>
      <c r="D65" s="20" t="s">
        <v>244</v>
      </c>
      <c r="E65" s="21"/>
      <c r="F65" s="20"/>
      <c r="G65" s="19" t="s">
        <v>283</v>
      </c>
      <c r="H65" s="21" t="s">
        <v>284</v>
      </c>
      <c r="I65" s="21" t="s">
        <v>24</v>
      </c>
      <c r="J65" s="20" t="s">
        <v>269</v>
      </c>
      <c r="K65" s="20" t="s">
        <v>285</v>
      </c>
    </row>
    <row r="66" spans="1:11" ht="46" customHeight="1">
      <c r="A66" s="19">
        <v>62</v>
      </c>
      <c r="B66" s="19" t="s">
        <v>243</v>
      </c>
      <c r="C66" s="20" t="s">
        <v>244</v>
      </c>
      <c r="D66" s="20" t="s">
        <v>244</v>
      </c>
      <c r="E66" s="21"/>
      <c r="F66" s="20"/>
      <c r="G66" s="19" t="s">
        <v>286</v>
      </c>
      <c r="H66" s="21" t="s">
        <v>287</v>
      </c>
      <c r="I66" s="21" t="s">
        <v>16</v>
      </c>
      <c r="J66" s="20" t="s">
        <v>288</v>
      </c>
      <c r="K66" s="20" t="s">
        <v>289</v>
      </c>
    </row>
    <row r="67" spans="1:11" ht="46" customHeight="1">
      <c r="A67" s="19">
        <v>63</v>
      </c>
      <c r="B67" s="19" t="s">
        <v>243</v>
      </c>
      <c r="C67" s="20" t="s">
        <v>244</v>
      </c>
      <c r="D67" s="20" t="s">
        <v>244</v>
      </c>
      <c r="E67" s="21"/>
      <c r="F67" s="20"/>
      <c r="G67" s="19" t="s">
        <v>290</v>
      </c>
      <c r="H67" s="21" t="s">
        <v>291</v>
      </c>
      <c r="I67" s="21" t="s">
        <v>24</v>
      </c>
      <c r="J67" s="20" t="s">
        <v>292</v>
      </c>
      <c r="K67" s="20" t="s">
        <v>293</v>
      </c>
    </row>
    <row r="68" spans="1:11" ht="46" customHeight="1">
      <c r="A68" s="19">
        <v>64</v>
      </c>
      <c r="B68" s="19" t="s">
        <v>243</v>
      </c>
      <c r="C68" s="20" t="s">
        <v>244</v>
      </c>
      <c r="D68" s="20" t="s">
        <v>244</v>
      </c>
      <c r="E68" s="21"/>
      <c r="F68" s="20"/>
      <c r="G68" s="19" t="s">
        <v>294</v>
      </c>
      <c r="H68" s="21" t="s">
        <v>295</v>
      </c>
      <c r="I68" s="21" t="s">
        <v>16</v>
      </c>
      <c r="J68" s="20" t="s">
        <v>296</v>
      </c>
      <c r="K68" s="20" t="s">
        <v>297</v>
      </c>
    </row>
    <row r="69" spans="1:11" ht="46" customHeight="1">
      <c r="A69" s="19">
        <v>65</v>
      </c>
      <c r="B69" s="19" t="s">
        <v>243</v>
      </c>
      <c r="C69" s="20" t="s">
        <v>244</v>
      </c>
      <c r="D69" s="20" t="s">
        <v>244</v>
      </c>
      <c r="E69" s="21"/>
      <c r="F69" s="20"/>
      <c r="G69" s="19" t="s">
        <v>298</v>
      </c>
      <c r="H69" s="21" t="s">
        <v>299</v>
      </c>
      <c r="I69" s="21" t="s">
        <v>16</v>
      </c>
      <c r="J69" s="20" t="s">
        <v>300</v>
      </c>
      <c r="K69" s="20" t="s">
        <v>301</v>
      </c>
    </row>
    <row r="70" spans="1:11" ht="46" customHeight="1">
      <c r="A70" s="19">
        <v>66</v>
      </c>
      <c r="B70" s="19" t="s">
        <v>243</v>
      </c>
      <c r="C70" s="20" t="s">
        <v>244</v>
      </c>
      <c r="D70" s="20" t="s">
        <v>244</v>
      </c>
      <c r="E70" s="21"/>
      <c r="F70" s="20"/>
      <c r="G70" s="19" t="s">
        <v>302</v>
      </c>
      <c r="H70" s="21" t="s">
        <v>303</v>
      </c>
      <c r="I70" s="21" t="s">
        <v>24</v>
      </c>
      <c r="J70" s="20" t="s">
        <v>304</v>
      </c>
      <c r="K70" s="20" t="s">
        <v>305</v>
      </c>
    </row>
    <row r="71" spans="1:11" ht="46" customHeight="1">
      <c r="A71" s="19">
        <v>67</v>
      </c>
      <c r="B71" s="19" t="s">
        <v>243</v>
      </c>
      <c r="C71" s="20" t="s">
        <v>244</v>
      </c>
      <c r="D71" s="20" t="s">
        <v>244</v>
      </c>
      <c r="E71" s="21"/>
      <c r="F71" s="20"/>
      <c r="G71" s="19" t="s">
        <v>306</v>
      </c>
      <c r="H71" s="21" t="s">
        <v>307</v>
      </c>
      <c r="I71" s="21" t="s">
        <v>16</v>
      </c>
      <c r="J71" s="20" t="s">
        <v>308</v>
      </c>
      <c r="K71" s="20" t="s">
        <v>309</v>
      </c>
    </row>
    <row r="72" spans="1:11" ht="46" customHeight="1">
      <c r="A72" s="19">
        <v>68</v>
      </c>
      <c r="B72" s="19" t="s">
        <v>243</v>
      </c>
      <c r="C72" s="20" t="s">
        <v>244</v>
      </c>
      <c r="D72" s="20" t="s">
        <v>244</v>
      </c>
      <c r="E72" s="21"/>
      <c r="F72" s="20"/>
      <c r="G72" s="19" t="s">
        <v>310</v>
      </c>
      <c r="H72" s="21" t="s">
        <v>311</v>
      </c>
      <c r="I72" s="21" t="s">
        <v>16</v>
      </c>
      <c r="J72" s="20" t="s">
        <v>312</v>
      </c>
      <c r="K72" s="20" t="s">
        <v>313</v>
      </c>
    </row>
    <row r="73" spans="1:11" ht="46" customHeight="1">
      <c r="A73" s="19">
        <v>69</v>
      </c>
      <c r="B73" s="19" t="s">
        <v>243</v>
      </c>
      <c r="C73" s="20" t="s">
        <v>244</v>
      </c>
      <c r="D73" s="20" t="s">
        <v>244</v>
      </c>
      <c r="E73" s="21"/>
      <c r="F73" s="20"/>
      <c r="G73" s="19" t="s">
        <v>314</v>
      </c>
      <c r="H73" s="21" t="s">
        <v>315</v>
      </c>
      <c r="I73" s="21" t="s">
        <v>16</v>
      </c>
      <c r="J73" s="20" t="s">
        <v>316</v>
      </c>
      <c r="K73" s="20" t="s">
        <v>317</v>
      </c>
    </row>
    <row r="74" spans="1:11" ht="46" customHeight="1">
      <c r="A74" s="19">
        <v>70</v>
      </c>
      <c r="B74" s="19" t="s">
        <v>243</v>
      </c>
      <c r="C74" s="20" t="s">
        <v>244</v>
      </c>
      <c r="D74" s="20" t="s">
        <v>244</v>
      </c>
      <c r="E74" s="21"/>
      <c r="F74" s="20"/>
      <c r="G74" s="19" t="s">
        <v>318</v>
      </c>
      <c r="H74" s="21" t="s">
        <v>319</v>
      </c>
      <c r="I74" s="21" t="s">
        <v>24</v>
      </c>
      <c r="J74" s="20" t="s">
        <v>320</v>
      </c>
      <c r="K74" s="20" t="s">
        <v>321</v>
      </c>
    </row>
    <row r="75" spans="1:11" ht="46" customHeight="1">
      <c r="A75" s="19">
        <v>71</v>
      </c>
      <c r="B75" s="19" t="s">
        <v>243</v>
      </c>
      <c r="C75" s="20" t="s">
        <v>244</v>
      </c>
      <c r="D75" s="20" t="s">
        <v>244</v>
      </c>
      <c r="E75" s="21"/>
      <c r="F75" s="20"/>
      <c r="G75" s="19" t="s">
        <v>322</v>
      </c>
      <c r="H75" s="21" t="s">
        <v>323</v>
      </c>
      <c r="I75" s="21" t="s">
        <v>24</v>
      </c>
      <c r="J75" s="20" t="s">
        <v>324</v>
      </c>
      <c r="K75" s="20" t="s">
        <v>325</v>
      </c>
    </row>
    <row r="76" spans="1:11" ht="46" customHeight="1">
      <c r="A76" s="19">
        <v>72</v>
      </c>
      <c r="B76" s="19" t="s">
        <v>243</v>
      </c>
      <c r="C76" s="20" t="s">
        <v>244</v>
      </c>
      <c r="D76" s="20" t="s">
        <v>244</v>
      </c>
      <c r="E76" s="21"/>
      <c r="F76" s="20"/>
      <c r="G76" s="19" t="s">
        <v>326</v>
      </c>
      <c r="H76" s="21" t="s">
        <v>327</v>
      </c>
      <c r="I76" s="21" t="s">
        <v>24</v>
      </c>
      <c r="J76" s="20" t="s">
        <v>328</v>
      </c>
      <c r="K76" s="20" t="s">
        <v>329</v>
      </c>
    </row>
    <row r="77" spans="1:11" ht="46" customHeight="1">
      <c r="A77" s="19">
        <v>73</v>
      </c>
      <c r="B77" s="19" t="s">
        <v>243</v>
      </c>
      <c r="C77" s="20" t="s">
        <v>244</v>
      </c>
      <c r="D77" s="20" t="s">
        <v>244</v>
      </c>
      <c r="E77" s="21"/>
      <c r="F77" s="20"/>
      <c r="G77" s="19" t="s">
        <v>330</v>
      </c>
      <c r="H77" s="21" t="s">
        <v>331</v>
      </c>
      <c r="I77" s="21" t="s">
        <v>16</v>
      </c>
      <c r="J77" s="20" t="s">
        <v>332</v>
      </c>
      <c r="K77" s="20" t="s">
        <v>333</v>
      </c>
    </row>
    <row r="78" spans="1:11" ht="46" customHeight="1">
      <c r="A78" s="19">
        <v>74</v>
      </c>
      <c r="B78" s="19" t="s">
        <v>334</v>
      </c>
      <c r="C78" s="20" t="s">
        <v>335</v>
      </c>
      <c r="D78" s="20" t="s">
        <v>335</v>
      </c>
      <c r="E78" s="21"/>
      <c r="F78" s="20"/>
      <c r="G78" s="19" t="s">
        <v>336</v>
      </c>
      <c r="H78" s="21" t="s">
        <v>337</v>
      </c>
      <c r="I78" s="21" t="s">
        <v>16</v>
      </c>
      <c r="J78" s="20" t="s">
        <v>338</v>
      </c>
      <c r="K78" s="20" t="s">
        <v>339</v>
      </c>
    </row>
    <row r="79" spans="1:11" ht="46" customHeight="1">
      <c r="A79" s="19">
        <v>75</v>
      </c>
      <c r="B79" s="19" t="s">
        <v>334</v>
      </c>
      <c r="C79" s="20" t="s">
        <v>335</v>
      </c>
      <c r="D79" s="20" t="s">
        <v>335</v>
      </c>
      <c r="E79" s="21"/>
      <c r="F79" s="20"/>
      <c r="G79" s="19" t="s">
        <v>340</v>
      </c>
      <c r="H79" s="21" t="s">
        <v>341</v>
      </c>
      <c r="I79" s="21" t="s">
        <v>16</v>
      </c>
      <c r="J79" s="20" t="s">
        <v>342</v>
      </c>
      <c r="K79" s="20" t="s">
        <v>343</v>
      </c>
    </row>
    <row r="80" spans="1:11" ht="46" customHeight="1">
      <c r="A80" s="19">
        <v>76</v>
      </c>
      <c r="B80" s="19" t="s">
        <v>334</v>
      </c>
      <c r="C80" s="20" t="s">
        <v>335</v>
      </c>
      <c r="D80" s="20" t="s">
        <v>335</v>
      </c>
      <c r="E80" s="21"/>
      <c r="F80" s="20"/>
      <c r="G80" s="19" t="s">
        <v>344</v>
      </c>
      <c r="H80" s="21" t="s">
        <v>345</v>
      </c>
      <c r="I80" s="21" t="s">
        <v>16</v>
      </c>
      <c r="J80" s="20" t="s">
        <v>346</v>
      </c>
      <c r="K80" s="20" t="s">
        <v>347</v>
      </c>
    </row>
    <row r="81" spans="1:11" ht="46" customHeight="1">
      <c r="A81" s="19">
        <v>77</v>
      </c>
      <c r="B81" s="19" t="s">
        <v>334</v>
      </c>
      <c r="C81" s="20" t="s">
        <v>335</v>
      </c>
      <c r="D81" s="20" t="s">
        <v>335</v>
      </c>
      <c r="E81" s="21"/>
      <c r="F81" s="20"/>
      <c r="G81" s="19" t="s">
        <v>348</v>
      </c>
      <c r="H81" s="21" t="s">
        <v>349</v>
      </c>
      <c r="I81" s="21" t="s">
        <v>16</v>
      </c>
      <c r="J81" s="20" t="s">
        <v>158</v>
      </c>
      <c r="K81" s="20" t="s">
        <v>350</v>
      </c>
    </row>
    <row r="82" spans="1:11" ht="46" customHeight="1">
      <c r="A82" s="19">
        <v>78</v>
      </c>
      <c r="B82" s="19" t="s">
        <v>334</v>
      </c>
      <c r="C82" s="20" t="s">
        <v>335</v>
      </c>
      <c r="D82" s="20" t="s">
        <v>335</v>
      </c>
      <c r="E82" s="21"/>
      <c r="F82" s="20"/>
      <c r="G82" s="19" t="s">
        <v>351</v>
      </c>
      <c r="H82" s="21" t="s">
        <v>352</v>
      </c>
      <c r="I82" s="21" t="s">
        <v>16</v>
      </c>
      <c r="J82" s="20" t="s">
        <v>353</v>
      </c>
      <c r="K82" s="20" t="s">
        <v>354</v>
      </c>
    </row>
    <row r="83" spans="1:11" ht="46" customHeight="1">
      <c r="A83" s="19">
        <v>79</v>
      </c>
      <c r="B83" s="19" t="s">
        <v>334</v>
      </c>
      <c r="C83" s="20" t="s">
        <v>335</v>
      </c>
      <c r="D83" s="20" t="s">
        <v>335</v>
      </c>
      <c r="E83" s="21"/>
      <c r="F83" s="20"/>
      <c r="G83" s="19" t="s">
        <v>355</v>
      </c>
      <c r="H83" s="21" t="s">
        <v>356</v>
      </c>
      <c r="I83" s="21" t="s">
        <v>16</v>
      </c>
      <c r="J83" s="20" t="s">
        <v>357</v>
      </c>
      <c r="K83" s="20" t="s">
        <v>358</v>
      </c>
    </row>
    <row r="84" spans="1:11" ht="46" customHeight="1">
      <c r="A84" s="19">
        <v>80</v>
      </c>
      <c r="B84" s="19" t="s">
        <v>334</v>
      </c>
      <c r="C84" s="20" t="s">
        <v>335</v>
      </c>
      <c r="D84" s="20" t="s">
        <v>335</v>
      </c>
      <c r="E84" s="21"/>
      <c r="F84" s="20"/>
      <c r="G84" s="19" t="s">
        <v>359</v>
      </c>
      <c r="H84" s="21" t="s">
        <v>360</v>
      </c>
      <c r="I84" s="21" t="s">
        <v>16</v>
      </c>
      <c r="J84" s="20" t="s">
        <v>361</v>
      </c>
      <c r="K84" s="20" t="s">
        <v>362</v>
      </c>
    </row>
    <row r="85" spans="1:11" ht="46" customHeight="1">
      <c r="A85" s="19">
        <v>81</v>
      </c>
      <c r="B85" s="19" t="s">
        <v>334</v>
      </c>
      <c r="C85" s="20" t="s">
        <v>335</v>
      </c>
      <c r="D85" s="20" t="s">
        <v>335</v>
      </c>
      <c r="E85" s="21"/>
      <c r="F85" s="20"/>
      <c r="G85" s="19" t="s">
        <v>363</v>
      </c>
      <c r="H85" s="21" t="s">
        <v>364</v>
      </c>
      <c r="I85" s="21" t="s">
        <v>16</v>
      </c>
      <c r="J85" s="20" t="s">
        <v>365</v>
      </c>
      <c r="K85" s="20" t="s">
        <v>366</v>
      </c>
    </row>
    <row r="86" spans="1:11" ht="46" customHeight="1">
      <c r="A86" s="19">
        <v>82</v>
      </c>
      <c r="B86" s="19" t="s">
        <v>334</v>
      </c>
      <c r="C86" s="20" t="s">
        <v>335</v>
      </c>
      <c r="D86" s="20" t="s">
        <v>335</v>
      </c>
      <c r="E86" s="21"/>
      <c r="F86" s="20"/>
      <c r="G86" s="19" t="s">
        <v>367</v>
      </c>
      <c r="H86" s="21" t="s">
        <v>368</v>
      </c>
      <c r="I86" s="21" t="s">
        <v>16</v>
      </c>
      <c r="J86" s="20" t="s">
        <v>369</v>
      </c>
      <c r="K86" s="20" t="s">
        <v>370</v>
      </c>
    </row>
    <row r="87" spans="1:11" ht="46" customHeight="1">
      <c r="A87" s="19">
        <v>83</v>
      </c>
      <c r="B87" s="19" t="s">
        <v>334</v>
      </c>
      <c r="C87" s="20" t="s">
        <v>335</v>
      </c>
      <c r="D87" s="20" t="s">
        <v>335</v>
      </c>
      <c r="E87" s="21"/>
      <c r="F87" s="20"/>
      <c r="G87" s="19" t="s">
        <v>371</v>
      </c>
      <c r="H87" s="21" t="s">
        <v>372</v>
      </c>
      <c r="I87" s="21" t="s">
        <v>24</v>
      </c>
      <c r="J87" s="20" t="s">
        <v>373</v>
      </c>
      <c r="K87" s="20" t="s">
        <v>374</v>
      </c>
    </row>
    <row r="88" spans="1:11" ht="46" customHeight="1">
      <c r="A88" s="19">
        <v>84</v>
      </c>
      <c r="B88" s="19" t="s">
        <v>334</v>
      </c>
      <c r="C88" s="20" t="s">
        <v>335</v>
      </c>
      <c r="D88" s="20" t="s">
        <v>335</v>
      </c>
      <c r="E88" s="21"/>
      <c r="F88" s="20"/>
      <c r="G88" s="19" t="s">
        <v>375</v>
      </c>
      <c r="H88" s="21" t="s">
        <v>376</v>
      </c>
      <c r="I88" s="21" t="s">
        <v>16</v>
      </c>
      <c r="J88" s="20" t="s">
        <v>377</v>
      </c>
      <c r="K88" s="20" t="s">
        <v>378</v>
      </c>
    </row>
    <row r="89" spans="1:11" ht="46" customHeight="1">
      <c r="A89" s="19">
        <v>85</v>
      </c>
      <c r="B89" s="19" t="s">
        <v>334</v>
      </c>
      <c r="C89" s="20" t="s">
        <v>335</v>
      </c>
      <c r="D89" s="20" t="s">
        <v>335</v>
      </c>
      <c r="E89" s="21"/>
      <c r="F89" s="20"/>
      <c r="G89" s="19" t="s">
        <v>379</v>
      </c>
      <c r="H89" s="21" t="s">
        <v>380</v>
      </c>
      <c r="I89" s="21" t="s">
        <v>24</v>
      </c>
      <c r="J89" s="20" t="s">
        <v>377</v>
      </c>
      <c r="K89" s="20" t="s">
        <v>381</v>
      </c>
    </row>
    <row r="90" spans="1:11" ht="46" customHeight="1">
      <c r="A90" s="19">
        <v>86</v>
      </c>
      <c r="B90" s="19" t="s">
        <v>334</v>
      </c>
      <c r="C90" s="20" t="s">
        <v>335</v>
      </c>
      <c r="D90" s="20" t="s">
        <v>335</v>
      </c>
      <c r="E90" s="21"/>
      <c r="F90" s="20"/>
      <c r="G90" s="19" t="s">
        <v>382</v>
      </c>
      <c r="H90" s="21" t="s">
        <v>383</v>
      </c>
      <c r="I90" s="21" t="s">
        <v>16</v>
      </c>
      <c r="J90" s="20" t="s">
        <v>384</v>
      </c>
      <c r="K90" s="20" t="s">
        <v>385</v>
      </c>
    </row>
    <row r="91" spans="1:11" ht="46" customHeight="1">
      <c r="A91" s="19">
        <v>87</v>
      </c>
      <c r="B91" s="19" t="s">
        <v>334</v>
      </c>
      <c r="C91" s="20" t="s">
        <v>335</v>
      </c>
      <c r="D91" s="20" t="s">
        <v>335</v>
      </c>
      <c r="E91" s="21"/>
      <c r="F91" s="20"/>
      <c r="G91" s="19" t="s">
        <v>386</v>
      </c>
      <c r="H91" s="21" t="s">
        <v>387</v>
      </c>
      <c r="I91" s="21" t="s">
        <v>16</v>
      </c>
      <c r="J91" s="20" t="s">
        <v>388</v>
      </c>
      <c r="K91" s="20" t="s">
        <v>389</v>
      </c>
    </row>
    <row r="92" spans="1:11" ht="46" customHeight="1">
      <c r="A92" s="19">
        <v>88</v>
      </c>
      <c r="B92" s="19" t="s">
        <v>334</v>
      </c>
      <c r="C92" s="20" t="s">
        <v>335</v>
      </c>
      <c r="D92" s="20" t="s">
        <v>335</v>
      </c>
      <c r="E92" s="21"/>
      <c r="F92" s="20"/>
      <c r="G92" s="19" t="s">
        <v>390</v>
      </c>
      <c r="H92" s="21" t="s">
        <v>391</v>
      </c>
      <c r="I92" s="21" t="s">
        <v>16</v>
      </c>
      <c r="J92" s="20" t="s">
        <v>392</v>
      </c>
      <c r="K92" s="20" t="s">
        <v>393</v>
      </c>
    </row>
    <row r="93" spans="1:11" ht="46" customHeight="1">
      <c r="A93" s="19">
        <v>89</v>
      </c>
      <c r="B93" s="19" t="s">
        <v>334</v>
      </c>
      <c r="C93" s="20" t="s">
        <v>335</v>
      </c>
      <c r="D93" s="20" t="s">
        <v>335</v>
      </c>
      <c r="E93" s="21"/>
      <c r="F93" s="20"/>
      <c r="G93" s="19" t="s">
        <v>394</v>
      </c>
      <c r="H93" s="21" t="s">
        <v>395</v>
      </c>
      <c r="I93" s="21" t="s">
        <v>24</v>
      </c>
      <c r="J93" s="20" t="s">
        <v>396</v>
      </c>
      <c r="K93" s="20" t="s">
        <v>397</v>
      </c>
    </row>
    <row r="94" spans="1:11" ht="46" customHeight="1">
      <c r="A94" s="19">
        <v>90</v>
      </c>
      <c r="B94" s="19" t="s">
        <v>334</v>
      </c>
      <c r="C94" s="20" t="s">
        <v>335</v>
      </c>
      <c r="D94" s="20" t="s">
        <v>335</v>
      </c>
      <c r="E94" s="21"/>
      <c r="F94" s="20"/>
      <c r="G94" s="19" t="s">
        <v>398</v>
      </c>
      <c r="H94" s="21" t="s">
        <v>399</v>
      </c>
      <c r="I94" s="21" t="s">
        <v>16</v>
      </c>
      <c r="J94" s="20" t="s">
        <v>400</v>
      </c>
      <c r="K94" s="20" t="s">
        <v>401</v>
      </c>
    </row>
    <row r="95" spans="1:11" ht="46" customHeight="1">
      <c r="A95" s="19">
        <v>91</v>
      </c>
      <c r="B95" s="19" t="s">
        <v>334</v>
      </c>
      <c r="C95" s="20" t="s">
        <v>335</v>
      </c>
      <c r="D95" s="20" t="s">
        <v>335</v>
      </c>
      <c r="E95" s="21"/>
      <c r="F95" s="20"/>
      <c r="G95" s="19" t="s">
        <v>402</v>
      </c>
      <c r="H95" s="21" t="s">
        <v>403</v>
      </c>
      <c r="I95" s="21" t="s">
        <v>24</v>
      </c>
      <c r="J95" s="20" t="s">
        <v>404</v>
      </c>
      <c r="K95" s="20" t="s">
        <v>405</v>
      </c>
    </row>
    <row r="96" spans="1:11" ht="46" customHeight="1">
      <c r="A96" s="19">
        <v>92</v>
      </c>
      <c r="B96" s="19" t="s">
        <v>334</v>
      </c>
      <c r="C96" s="20" t="s">
        <v>335</v>
      </c>
      <c r="D96" s="20" t="s">
        <v>335</v>
      </c>
      <c r="E96" s="21"/>
      <c r="F96" s="20"/>
      <c r="G96" s="19" t="s">
        <v>406</v>
      </c>
      <c r="H96" s="21" t="s">
        <v>407</v>
      </c>
      <c r="I96" s="21" t="s">
        <v>16</v>
      </c>
      <c r="J96" s="20" t="s">
        <v>408</v>
      </c>
      <c r="K96" s="20" t="s">
        <v>409</v>
      </c>
    </row>
    <row r="97" spans="1:11" ht="46" customHeight="1">
      <c r="A97" s="19">
        <v>93</v>
      </c>
      <c r="B97" s="19" t="s">
        <v>334</v>
      </c>
      <c r="C97" s="20" t="s">
        <v>335</v>
      </c>
      <c r="D97" s="20" t="s">
        <v>335</v>
      </c>
      <c r="E97" s="21"/>
      <c r="F97" s="20"/>
      <c r="G97" s="19" t="s">
        <v>410</v>
      </c>
      <c r="H97" s="21" t="s">
        <v>411</v>
      </c>
      <c r="I97" s="21" t="s">
        <v>24</v>
      </c>
      <c r="J97" s="20" t="s">
        <v>412</v>
      </c>
      <c r="K97" s="20" t="s">
        <v>413</v>
      </c>
    </row>
    <row r="98" spans="1:11" ht="46" customHeight="1">
      <c r="A98" s="19">
        <v>94</v>
      </c>
      <c r="B98" s="19" t="s">
        <v>334</v>
      </c>
      <c r="C98" s="20" t="s">
        <v>335</v>
      </c>
      <c r="D98" s="20" t="s">
        <v>335</v>
      </c>
      <c r="E98" s="21"/>
      <c r="F98" s="20"/>
      <c r="G98" s="19" t="s">
        <v>414</v>
      </c>
      <c r="H98" s="21" t="s">
        <v>415</v>
      </c>
      <c r="I98" s="21" t="s">
        <v>16</v>
      </c>
      <c r="J98" s="20" t="s">
        <v>416</v>
      </c>
      <c r="K98" s="20" t="s">
        <v>417</v>
      </c>
    </row>
    <row r="99" spans="1:11" ht="46" customHeight="1">
      <c r="A99" s="19">
        <v>95</v>
      </c>
      <c r="B99" s="19" t="s">
        <v>334</v>
      </c>
      <c r="C99" s="20" t="s">
        <v>335</v>
      </c>
      <c r="D99" s="20" t="s">
        <v>335</v>
      </c>
      <c r="E99" s="21"/>
      <c r="F99" s="20"/>
      <c r="G99" s="19" t="s">
        <v>418</v>
      </c>
      <c r="H99" s="21" t="s">
        <v>419</v>
      </c>
      <c r="I99" s="21" t="s">
        <v>16</v>
      </c>
      <c r="J99" s="20" t="s">
        <v>420</v>
      </c>
      <c r="K99" s="20" t="s">
        <v>421</v>
      </c>
    </row>
    <row r="100" spans="1:11" ht="46" customHeight="1">
      <c r="A100" s="19">
        <v>96</v>
      </c>
      <c r="B100" s="19" t="s">
        <v>422</v>
      </c>
      <c r="C100" s="20" t="s">
        <v>423</v>
      </c>
      <c r="D100" s="20" t="s">
        <v>423</v>
      </c>
      <c r="E100" s="21"/>
      <c r="F100" s="20"/>
      <c r="G100" s="19" t="s">
        <v>424</v>
      </c>
      <c r="H100" s="21" t="s">
        <v>425</v>
      </c>
      <c r="I100" s="21" t="s">
        <v>16</v>
      </c>
      <c r="J100" s="20" t="s">
        <v>426</v>
      </c>
      <c r="K100" s="20" t="s">
        <v>427</v>
      </c>
    </row>
    <row r="101" spans="1:11" ht="46" customHeight="1">
      <c r="A101" s="19">
        <v>97</v>
      </c>
      <c r="B101" s="19" t="s">
        <v>422</v>
      </c>
      <c r="C101" s="20" t="s">
        <v>423</v>
      </c>
      <c r="D101" s="20" t="s">
        <v>423</v>
      </c>
      <c r="E101" s="21"/>
      <c r="F101" s="20"/>
      <c r="G101" s="19" t="s">
        <v>428</v>
      </c>
      <c r="H101" s="21" t="s">
        <v>429</v>
      </c>
      <c r="I101" s="21" t="s">
        <v>16</v>
      </c>
      <c r="J101" s="20" t="s">
        <v>430</v>
      </c>
      <c r="K101" s="20" t="s">
        <v>431</v>
      </c>
    </row>
    <row r="102" spans="1:11" ht="46" customHeight="1">
      <c r="A102" s="19">
        <v>98</v>
      </c>
      <c r="B102" s="19" t="s">
        <v>422</v>
      </c>
      <c r="C102" s="20" t="s">
        <v>423</v>
      </c>
      <c r="D102" s="20" t="s">
        <v>423</v>
      </c>
      <c r="E102" s="21"/>
      <c r="F102" s="20"/>
      <c r="G102" s="19" t="s">
        <v>432</v>
      </c>
      <c r="H102" s="21" t="s">
        <v>433</v>
      </c>
      <c r="I102" s="21" t="s">
        <v>16</v>
      </c>
      <c r="J102" s="20" t="s">
        <v>434</v>
      </c>
      <c r="K102" s="20" t="s">
        <v>435</v>
      </c>
    </row>
    <row r="103" spans="1:11" ht="46" customHeight="1">
      <c r="A103" s="19">
        <v>99</v>
      </c>
      <c r="B103" s="19" t="s">
        <v>422</v>
      </c>
      <c r="C103" s="20" t="s">
        <v>423</v>
      </c>
      <c r="D103" s="20" t="s">
        <v>423</v>
      </c>
      <c r="E103" s="21"/>
      <c r="F103" s="20"/>
      <c r="G103" s="19" t="s">
        <v>436</v>
      </c>
      <c r="H103" s="21" t="s">
        <v>437</v>
      </c>
      <c r="I103" s="21" t="s">
        <v>16</v>
      </c>
      <c r="J103" s="20" t="s">
        <v>438</v>
      </c>
      <c r="K103" s="20" t="s">
        <v>439</v>
      </c>
    </row>
    <row r="104" spans="1:11" ht="46" customHeight="1">
      <c r="A104" s="19">
        <v>100</v>
      </c>
      <c r="B104" s="19" t="s">
        <v>422</v>
      </c>
      <c r="C104" s="20" t="s">
        <v>423</v>
      </c>
      <c r="D104" s="20" t="s">
        <v>423</v>
      </c>
      <c r="E104" s="21"/>
      <c r="F104" s="20"/>
      <c r="G104" s="19" t="s">
        <v>440</v>
      </c>
      <c r="H104" s="21" t="s">
        <v>441</v>
      </c>
      <c r="I104" s="21" t="s">
        <v>24</v>
      </c>
      <c r="J104" s="20" t="s">
        <v>442</v>
      </c>
      <c r="K104" s="20" t="s">
        <v>443</v>
      </c>
    </row>
    <row r="105" spans="1:11" ht="46" customHeight="1">
      <c r="A105" s="19">
        <v>101</v>
      </c>
      <c r="B105" s="19" t="s">
        <v>422</v>
      </c>
      <c r="C105" s="20" t="s">
        <v>423</v>
      </c>
      <c r="D105" s="20" t="s">
        <v>423</v>
      </c>
      <c r="E105" s="21"/>
      <c r="F105" s="20"/>
      <c r="G105" s="19" t="s">
        <v>444</v>
      </c>
      <c r="H105" s="21" t="s">
        <v>445</v>
      </c>
      <c r="I105" s="21" t="s">
        <v>24</v>
      </c>
      <c r="J105" s="20" t="s">
        <v>446</v>
      </c>
      <c r="K105" s="20" t="s">
        <v>447</v>
      </c>
    </row>
    <row r="106" spans="1:11" ht="46" customHeight="1">
      <c r="A106" s="19">
        <v>102</v>
      </c>
      <c r="B106" s="19" t="s">
        <v>422</v>
      </c>
      <c r="C106" s="20" t="s">
        <v>423</v>
      </c>
      <c r="D106" s="20" t="s">
        <v>423</v>
      </c>
      <c r="E106" s="21"/>
      <c r="F106" s="20"/>
      <c r="G106" s="19" t="s">
        <v>448</v>
      </c>
      <c r="H106" s="21" t="s">
        <v>449</v>
      </c>
      <c r="I106" s="21" t="s">
        <v>16</v>
      </c>
      <c r="J106" s="20" t="s">
        <v>450</v>
      </c>
      <c r="K106" s="20" t="s">
        <v>451</v>
      </c>
    </row>
    <row r="107" spans="1:11" ht="46" customHeight="1">
      <c r="A107" s="19">
        <v>103</v>
      </c>
      <c r="B107" s="19" t="s">
        <v>422</v>
      </c>
      <c r="C107" s="20" t="s">
        <v>423</v>
      </c>
      <c r="D107" s="20" t="s">
        <v>423</v>
      </c>
      <c r="E107" s="21"/>
      <c r="F107" s="20"/>
      <c r="G107" s="19" t="s">
        <v>452</v>
      </c>
      <c r="H107" s="21" t="s">
        <v>453</v>
      </c>
      <c r="I107" s="21" t="s">
        <v>16</v>
      </c>
      <c r="J107" s="20" t="s">
        <v>454</v>
      </c>
      <c r="K107" s="20" t="s">
        <v>455</v>
      </c>
    </row>
    <row r="108" spans="1:11" ht="46" customHeight="1">
      <c r="A108" s="19">
        <v>104</v>
      </c>
      <c r="B108" s="19" t="s">
        <v>422</v>
      </c>
      <c r="C108" s="20" t="s">
        <v>423</v>
      </c>
      <c r="D108" s="20" t="s">
        <v>423</v>
      </c>
      <c r="E108" s="21"/>
      <c r="F108" s="20"/>
      <c r="G108" s="19" t="s">
        <v>456</v>
      </c>
      <c r="H108" s="21" t="s">
        <v>457</v>
      </c>
      <c r="I108" s="21" t="s">
        <v>16</v>
      </c>
      <c r="J108" s="20" t="s">
        <v>458</v>
      </c>
      <c r="K108" s="20" t="s">
        <v>459</v>
      </c>
    </row>
    <row r="109" spans="1:11" ht="46" customHeight="1">
      <c r="A109" s="19">
        <v>105</v>
      </c>
      <c r="B109" s="19" t="s">
        <v>422</v>
      </c>
      <c r="C109" s="20" t="s">
        <v>423</v>
      </c>
      <c r="D109" s="20" t="s">
        <v>423</v>
      </c>
      <c r="E109" s="21"/>
      <c r="F109" s="20"/>
      <c r="G109" s="19" t="s">
        <v>460</v>
      </c>
      <c r="H109" s="21" t="s">
        <v>461</v>
      </c>
      <c r="I109" s="21" t="s">
        <v>16</v>
      </c>
      <c r="J109" s="20" t="s">
        <v>462</v>
      </c>
      <c r="K109" s="20" t="s">
        <v>463</v>
      </c>
    </row>
    <row r="110" spans="1:11" ht="46" customHeight="1">
      <c r="A110" s="19">
        <v>106</v>
      </c>
      <c r="B110" s="19" t="s">
        <v>422</v>
      </c>
      <c r="C110" s="20" t="s">
        <v>423</v>
      </c>
      <c r="D110" s="20" t="s">
        <v>423</v>
      </c>
      <c r="E110" s="21"/>
      <c r="F110" s="20"/>
      <c r="G110" s="19" t="s">
        <v>464</v>
      </c>
      <c r="H110" s="21" t="s">
        <v>465</v>
      </c>
      <c r="I110" s="21" t="s">
        <v>24</v>
      </c>
      <c r="J110" s="20" t="s">
        <v>466</v>
      </c>
      <c r="K110" s="20" t="s">
        <v>467</v>
      </c>
    </row>
    <row r="111" spans="1:11" ht="46" customHeight="1">
      <c r="A111" s="19">
        <v>107</v>
      </c>
      <c r="B111" s="19" t="s">
        <v>422</v>
      </c>
      <c r="C111" s="20" t="s">
        <v>423</v>
      </c>
      <c r="D111" s="20" t="s">
        <v>423</v>
      </c>
      <c r="E111" s="21"/>
      <c r="F111" s="20"/>
      <c r="G111" s="19" t="s">
        <v>468</v>
      </c>
      <c r="H111" s="21" t="s">
        <v>469</v>
      </c>
      <c r="I111" s="21" t="s">
        <v>16</v>
      </c>
      <c r="J111" s="20" t="s">
        <v>470</v>
      </c>
      <c r="K111" s="20" t="s">
        <v>471</v>
      </c>
    </row>
    <row r="112" spans="1:11" ht="46" customHeight="1">
      <c r="A112" s="19">
        <v>108</v>
      </c>
      <c r="B112" s="19" t="s">
        <v>422</v>
      </c>
      <c r="C112" s="20" t="s">
        <v>423</v>
      </c>
      <c r="D112" s="20" t="s">
        <v>423</v>
      </c>
      <c r="E112" s="21"/>
      <c r="F112" s="20"/>
      <c r="G112" s="19" t="s">
        <v>472</v>
      </c>
      <c r="H112" s="21" t="s">
        <v>473</v>
      </c>
      <c r="I112" s="21" t="s">
        <v>24</v>
      </c>
      <c r="J112" s="20" t="s">
        <v>474</v>
      </c>
      <c r="K112" s="20" t="s">
        <v>475</v>
      </c>
    </row>
    <row r="113" spans="1:11" ht="46" customHeight="1">
      <c r="A113" s="19">
        <v>109</v>
      </c>
      <c r="B113" s="19" t="s">
        <v>422</v>
      </c>
      <c r="C113" s="20" t="s">
        <v>423</v>
      </c>
      <c r="D113" s="20" t="s">
        <v>423</v>
      </c>
      <c r="E113" s="21"/>
      <c r="F113" s="20"/>
      <c r="G113" s="19" t="s">
        <v>476</v>
      </c>
      <c r="H113" s="21" t="s">
        <v>477</v>
      </c>
      <c r="I113" s="21" t="s">
        <v>24</v>
      </c>
      <c r="J113" s="20" t="s">
        <v>478</v>
      </c>
      <c r="K113" s="20" t="s">
        <v>479</v>
      </c>
    </row>
    <row r="114" spans="1:11" ht="46" customHeight="1">
      <c r="A114" s="19">
        <v>110</v>
      </c>
      <c r="B114" s="19" t="s">
        <v>422</v>
      </c>
      <c r="C114" s="20" t="s">
        <v>423</v>
      </c>
      <c r="D114" s="20" t="s">
        <v>423</v>
      </c>
      <c r="E114" s="21"/>
      <c r="F114" s="20"/>
      <c r="G114" s="19" t="s">
        <v>480</v>
      </c>
      <c r="H114" s="21" t="s">
        <v>481</v>
      </c>
      <c r="I114" s="21" t="s">
        <v>24</v>
      </c>
      <c r="J114" s="20" t="s">
        <v>482</v>
      </c>
      <c r="K114" s="20" t="s">
        <v>483</v>
      </c>
    </row>
    <row r="115" spans="1:11" ht="46" customHeight="1">
      <c r="A115" s="19">
        <v>111</v>
      </c>
      <c r="B115" s="19" t="s">
        <v>422</v>
      </c>
      <c r="C115" s="20" t="s">
        <v>423</v>
      </c>
      <c r="D115" s="20" t="s">
        <v>423</v>
      </c>
      <c r="E115" s="21"/>
      <c r="F115" s="20"/>
      <c r="G115" s="19" t="s">
        <v>484</v>
      </c>
      <c r="H115" s="21" t="s">
        <v>485</v>
      </c>
      <c r="I115" s="21" t="s">
        <v>16</v>
      </c>
      <c r="J115" s="20" t="s">
        <v>486</v>
      </c>
      <c r="K115" s="20" t="s">
        <v>487</v>
      </c>
    </row>
    <row r="116" spans="1:11" ht="46" customHeight="1">
      <c r="A116" s="19">
        <v>112</v>
      </c>
      <c r="B116" s="19" t="s">
        <v>422</v>
      </c>
      <c r="C116" s="20" t="s">
        <v>423</v>
      </c>
      <c r="D116" s="20" t="s">
        <v>423</v>
      </c>
      <c r="E116" s="21"/>
      <c r="F116" s="20"/>
      <c r="G116" s="19" t="s">
        <v>488</v>
      </c>
      <c r="H116" s="21" t="s">
        <v>489</v>
      </c>
      <c r="I116" s="21" t="s">
        <v>24</v>
      </c>
      <c r="J116" s="20" t="s">
        <v>490</v>
      </c>
      <c r="K116" s="20" t="s">
        <v>491</v>
      </c>
    </row>
    <row r="117" spans="1:11" ht="46" customHeight="1">
      <c r="A117" s="19">
        <v>113</v>
      </c>
      <c r="B117" s="19" t="s">
        <v>422</v>
      </c>
      <c r="C117" s="20" t="s">
        <v>423</v>
      </c>
      <c r="D117" s="20" t="s">
        <v>423</v>
      </c>
      <c r="E117" s="21"/>
      <c r="F117" s="20"/>
      <c r="G117" s="19" t="s">
        <v>492</v>
      </c>
      <c r="H117" s="21" t="s">
        <v>493</v>
      </c>
      <c r="I117" s="21" t="s">
        <v>16</v>
      </c>
      <c r="J117" s="20" t="s">
        <v>494</v>
      </c>
      <c r="K117" s="20" t="s">
        <v>495</v>
      </c>
    </row>
    <row r="118" spans="1:11" ht="46" customHeight="1">
      <c r="A118" s="19">
        <v>114</v>
      </c>
      <c r="B118" s="19" t="s">
        <v>422</v>
      </c>
      <c r="C118" s="20" t="s">
        <v>423</v>
      </c>
      <c r="D118" s="20" t="s">
        <v>423</v>
      </c>
      <c r="E118" s="21"/>
      <c r="F118" s="20"/>
      <c r="G118" s="19" t="s">
        <v>496</v>
      </c>
      <c r="H118" s="21" t="s">
        <v>497</v>
      </c>
      <c r="I118" s="21" t="s">
        <v>16</v>
      </c>
      <c r="J118" s="20" t="s">
        <v>498</v>
      </c>
      <c r="K118" s="20" t="s">
        <v>499</v>
      </c>
    </row>
    <row r="119" spans="1:11" ht="46" customHeight="1">
      <c r="A119" s="19">
        <v>115</v>
      </c>
      <c r="B119" s="19" t="s">
        <v>500</v>
      </c>
      <c r="C119" s="20" t="s">
        <v>501</v>
      </c>
      <c r="D119" s="20" t="s">
        <v>501</v>
      </c>
      <c r="E119" s="21"/>
      <c r="F119" s="20"/>
      <c r="G119" s="19" t="s">
        <v>502</v>
      </c>
      <c r="H119" s="21" t="s">
        <v>503</v>
      </c>
      <c r="I119" s="21" t="s">
        <v>16</v>
      </c>
      <c r="J119" s="20" t="s">
        <v>504</v>
      </c>
      <c r="K119" s="20" t="s">
        <v>505</v>
      </c>
    </row>
    <row r="120" spans="1:11" ht="46" customHeight="1">
      <c r="A120" s="19">
        <v>116</v>
      </c>
      <c r="B120" s="19" t="s">
        <v>500</v>
      </c>
      <c r="C120" s="20" t="s">
        <v>501</v>
      </c>
      <c r="D120" s="20" t="s">
        <v>501</v>
      </c>
      <c r="E120" s="21"/>
      <c r="F120" s="20"/>
      <c r="G120" s="19" t="s">
        <v>506</v>
      </c>
      <c r="H120" s="21" t="s">
        <v>507</v>
      </c>
      <c r="I120" s="21" t="s">
        <v>16</v>
      </c>
      <c r="J120" s="20" t="s">
        <v>508</v>
      </c>
      <c r="K120" s="20" t="s">
        <v>509</v>
      </c>
    </row>
    <row r="121" spans="1:11" ht="46" customHeight="1">
      <c r="A121" s="19">
        <v>117</v>
      </c>
      <c r="B121" s="19" t="s">
        <v>500</v>
      </c>
      <c r="C121" s="20" t="s">
        <v>501</v>
      </c>
      <c r="D121" s="20" t="s">
        <v>501</v>
      </c>
      <c r="E121" s="21"/>
      <c r="F121" s="20"/>
      <c r="G121" s="19" t="s">
        <v>510</v>
      </c>
      <c r="H121" s="21" t="s">
        <v>511</v>
      </c>
      <c r="I121" s="21" t="s">
        <v>16</v>
      </c>
      <c r="J121" s="20" t="s">
        <v>158</v>
      </c>
      <c r="K121" s="20" t="s">
        <v>512</v>
      </c>
    </row>
    <row r="122" spans="1:11" ht="46" customHeight="1">
      <c r="A122" s="19">
        <v>118</v>
      </c>
      <c r="B122" s="19" t="s">
        <v>500</v>
      </c>
      <c r="C122" s="20" t="s">
        <v>501</v>
      </c>
      <c r="D122" s="20" t="s">
        <v>501</v>
      </c>
      <c r="E122" s="21"/>
      <c r="F122" s="20"/>
      <c r="G122" s="19" t="s">
        <v>513</v>
      </c>
      <c r="H122" s="21" t="s">
        <v>514</v>
      </c>
      <c r="I122" s="21" t="s">
        <v>16</v>
      </c>
      <c r="J122" s="20" t="s">
        <v>515</v>
      </c>
      <c r="K122" s="20" t="s">
        <v>516</v>
      </c>
    </row>
    <row r="123" spans="1:11" ht="46" customHeight="1">
      <c r="A123" s="19">
        <v>119</v>
      </c>
      <c r="B123" s="19" t="s">
        <v>500</v>
      </c>
      <c r="C123" s="20" t="s">
        <v>501</v>
      </c>
      <c r="D123" s="20" t="s">
        <v>501</v>
      </c>
      <c r="E123" s="21"/>
      <c r="F123" s="20"/>
      <c r="G123" s="19" t="s">
        <v>517</v>
      </c>
      <c r="H123" s="21" t="s">
        <v>518</v>
      </c>
      <c r="I123" s="21" t="s">
        <v>16</v>
      </c>
      <c r="J123" s="20" t="s">
        <v>158</v>
      </c>
      <c r="K123" s="20" t="s">
        <v>519</v>
      </c>
    </row>
    <row r="124" spans="1:11" ht="46" customHeight="1">
      <c r="A124" s="19">
        <v>120</v>
      </c>
      <c r="B124" s="19" t="s">
        <v>500</v>
      </c>
      <c r="C124" s="20" t="s">
        <v>501</v>
      </c>
      <c r="D124" s="20" t="s">
        <v>501</v>
      </c>
      <c r="E124" s="21"/>
      <c r="F124" s="20"/>
      <c r="G124" s="19" t="s">
        <v>520</v>
      </c>
      <c r="H124" s="21" t="s">
        <v>521</v>
      </c>
      <c r="I124" s="21" t="s">
        <v>16</v>
      </c>
      <c r="J124" s="20" t="s">
        <v>522</v>
      </c>
      <c r="K124" s="20" t="s">
        <v>523</v>
      </c>
    </row>
    <row r="125" spans="1:11" ht="46" customHeight="1">
      <c r="A125" s="19">
        <v>121</v>
      </c>
      <c r="B125" s="19" t="s">
        <v>500</v>
      </c>
      <c r="C125" s="20" t="s">
        <v>501</v>
      </c>
      <c r="D125" s="20" t="s">
        <v>501</v>
      </c>
      <c r="E125" s="21"/>
      <c r="F125" s="20"/>
      <c r="G125" s="19" t="s">
        <v>524</v>
      </c>
      <c r="H125" s="21" t="s">
        <v>525</v>
      </c>
      <c r="I125" s="21" t="s">
        <v>16</v>
      </c>
      <c r="J125" s="20" t="s">
        <v>526</v>
      </c>
      <c r="K125" s="20" t="s">
        <v>527</v>
      </c>
    </row>
    <row r="126" spans="1:11" ht="46" customHeight="1">
      <c r="A126" s="19">
        <v>122</v>
      </c>
      <c r="B126" s="19" t="s">
        <v>500</v>
      </c>
      <c r="C126" s="20" t="s">
        <v>501</v>
      </c>
      <c r="D126" s="20" t="s">
        <v>501</v>
      </c>
      <c r="E126" s="21"/>
      <c r="F126" s="20"/>
      <c r="G126" s="19" t="s">
        <v>528</v>
      </c>
      <c r="H126" s="21" t="s">
        <v>529</v>
      </c>
      <c r="I126" s="21" t="s">
        <v>16</v>
      </c>
      <c r="J126" s="20" t="s">
        <v>70</v>
      </c>
      <c r="K126" s="20" t="s">
        <v>530</v>
      </c>
    </row>
    <row r="127" spans="1:11" ht="46" customHeight="1">
      <c r="A127" s="19">
        <v>123</v>
      </c>
      <c r="B127" s="19" t="s">
        <v>500</v>
      </c>
      <c r="C127" s="20" t="s">
        <v>501</v>
      </c>
      <c r="D127" s="20" t="s">
        <v>501</v>
      </c>
      <c r="E127" s="21"/>
      <c r="F127" s="20"/>
      <c r="G127" s="19" t="s">
        <v>531</v>
      </c>
      <c r="H127" s="21" t="s">
        <v>532</v>
      </c>
      <c r="I127" s="21" t="s">
        <v>24</v>
      </c>
      <c r="J127" s="20" t="s">
        <v>70</v>
      </c>
      <c r="K127" s="20" t="s">
        <v>533</v>
      </c>
    </row>
    <row r="128" spans="1:11" ht="46" customHeight="1">
      <c r="A128" s="19">
        <v>124</v>
      </c>
      <c r="B128" s="19" t="s">
        <v>500</v>
      </c>
      <c r="C128" s="20" t="s">
        <v>501</v>
      </c>
      <c r="D128" s="20" t="s">
        <v>501</v>
      </c>
      <c r="E128" s="21"/>
      <c r="F128" s="20"/>
      <c r="G128" s="19" t="s">
        <v>534</v>
      </c>
      <c r="H128" s="21" t="s">
        <v>535</v>
      </c>
      <c r="I128" s="21" t="s">
        <v>16</v>
      </c>
      <c r="J128" s="20" t="s">
        <v>536</v>
      </c>
      <c r="K128" s="20" t="s">
        <v>537</v>
      </c>
    </row>
    <row r="129" spans="1:11" ht="46" customHeight="1">
      <c r="A129" s="19">
        <v>125</v>
      </c>
      <c r="B129" s="19" t="s">
        <v>500</v>
      </c>
      <c r="C129" s="20" t="s">
        <v>501</v>
      </c>
      <c r="D129" s="20" t="s">
        <v>501</v>
      </c>
      <c r="E129" s="21"/>
      <c r="F129" s="20"/>
      <c r="G129" s="19" t="s">
        <v>538</v>
      </c>
      <c r="H129" s="21" t="s">
        <v>539</v>
      </c>
      <c r="I129" s="21" t="s">
        <v>16</v>
      </c>
      <c r="J129" s="20" t="s">
        <v>540</v>
      </c>
      <c r="K129" s="20" t="s">
        <v>541</v>
      </c>
    </row>
    <row r="130" spans="1:11" ht="46" customHeight="1">
      <c r="A130" s="19">
        <v>126</v>
      </c>
      <c r="B130" s="19" t="s">
        <v>500</v>
      </c>
      <c r="C130" s="20" t="s">
        <v>501</v>
      </c>
      <c r="D130" s="20" t="s">
        <v>501</v>
      </c>
      <c r="E130" s="21"/>
      <c r="F130" s="20"/>
      <c r="G130" s="19" t="s">
        <v>542</v>
      </c>
      <c r="H130" s="21" t="s">
        <v>543</v>
      </c>
      <c r="I130" s="21" t="s">
        <v>16</v>
      </c>
      <c r="J130" s="20" t="s">
        <v>544</v>
      </c>
      <c r="K130" s="20" t="s">
        <v>545</v>
      </c>
    </row>
    <row r="131" spans="1:11" ht="46" customHeight="1">
      <c r="A131" s="19">
        <v>127</v>
      </c>
      <c r="B131" s="19" t="s">
        <v>500</v>
      </c>
      <c r="C131" s="20" t="s">
        <v>501</v>
      </c>
      <c r="D131" s="20" t="s">
        <v>501</v>
      </c>
      <c r="E131" s="21"/>
      <c r="F131" s="20"/>
      <c r="G131" s="19" t="s">
        <v>546</v>
      </c>
      <c r="H131" s="21" t="s">
        <v>547</v>
      </c>
      <c r="I131" s="21" t="s">
        <v>16</v>
      </c>
      <c r="J131" s="20" t="s">
        <v>548</v>
      </c>
      <c r="K131" s="20" t="s">
        <v>549</v>
      </c>
    </row>
    <row r="132" spans="1:11" ht="46" customHeight="1">
      <c r="A132" s="19">
        <v>128</v>
      </c>
      <c r="B132" s="19" t="s">
        <v>500</v>
      </c>
      <c r="C132" s="20" t="s">
        <v>501</v>
      </c>
      <c r="D132" s="20" t="s">
        <v>501</v>
      </c>
      <c r="E132" s="21"/>
      <c r="F132" s="20"/>
      <c r="G132" s="19" t="s">
        <v>550</v>
      </c>
      <c r="H132" s="21" t="s">
        <v>551</v>
      </c>
      <c r="I132" s="21" t="s">
        <v>16</v>
      </c>
      <c r="J132" s="20" t="s">
        <v>552</v>
      </c>
      <c r="K132" s="20" t="s">
        <v>553</v>
      </c>
    </row>
    <row r="133" spans="1:11" ht="46" customHeight="1">
      <c r="A133" s="19">
        <v>129</v>
      </c>
      <c r="B133" s="19" t="s">
        <v>500</v>
      </c>
      <c r="C133" s="20" t="s">
        <v>501</v>
      </c>
      <c r="D133" s="20" t="s">
        <v>501</v>
      </c>
      <c r="E133" s="21"/>
      <c r="F133" s="20"/>
      <c r="G133" s="19" t="s">
        <v>554</v>
      </c>
      <c r="H133" s="21" t="s">
        <v>555</v>
      </c>
      <c r="I133" s="21" t="s">
        <v>16</v>
      </c>
      <c r="J133" s="20" t="s">
        <v>556</v>
      </c>
      <c r="K133" s="20" t="s">
        <v>557</v>
      </c>
    </row>
    <row r="134" spans="1:11" ht="46" customHeight="1">
      <c r="A134" s="19">
        <v>130</v>
      </c>
      <c r="B134" s="19" t="s">
        <v>500</v>
      </c>
      <c r="C134" s="20" t="s">
        <v>501</v>
      </c>
      <c r="D134" s="20" t="s">
        <v>501</v>
      </c>
      <c r="E134" s="21"/>
      <c r="F134" s="20"/>
      <c r="G134" s="19" t="s">
        <v>558</v>
      </c>
      <c r="H134" s="21" t="s">
        <v>559</v>
      </c>
      <c r="I134" s="21" t="s">
        <v>16</v>
      </c>
      <c r="J134" s="20" t="s">
        <v>556</v>
      </c>
      <c r="K134" s="20" t="s">
        <v>560</v>
      </c>
    </row>
    <row r="135" spans="1:11" ht="46" customHeight="1">
      <c r="A135" s="19">
        <v>131</v>
      </c>
      <c r="B135" s="19" t="s">
        <v>500</v>
      </c>
      <c r="C135" s="20" t="s">
        <v>501</v>
      </c>
      <c r="D135" s="20" t="s">
        <v>501</v>
      </c>
      <c r="E135" s="21"/>
      <c r="F135" s="20"/>
      <c r="G135" s="19" t="s">
        <v>561</v>
      </c>
      <c r="H135" s="21" t="s">
        <v>562</v>
      </c>
      <c r="I135" s="21" t="s">
        <v>16</v>
      </c>
      <c r="J135" s="20" t="s">
        <v>563</v>
      </c>
      <c r="K135" s="20" t="s">
        <v>564</v>
      </c>
    </row>
    <row r="136" spans="1:11" ht="46" customHeight="1">
      <c r="A136" s="19">
        <v>132</v>
      </c>
      <c r="B136" s="19" t="s">
        <v>500</v>
      </c>
      <c r="C136" s="20" t="s">
        <v>501</v>
      </c>
      <c r="D136" s="20" t="s">
        <v>501</v>
      </c>
      <c r="E136" s="21"/>
      <c r="F136" s="20"/>
      <c r="G136" s="19" t="s">
        <v>565</v>
      </c>
      <c r="H136" s="21" t="s">
        <v>566</v>
      </c>
      <c r="I136" s="21" t="s">
        <v>16</v>
      </c>
      <c r="J136" s="20" t="s">
        <v>567</v>
      </c>
      <c r="K136" s="20" t="s">
        <v>568</v>
      </c>
    </row>
    <row r="137" spans="1:11" ht="46" customHeight="1">
      <c r="A137" s="19">
        <v>133</v>
      </c>
      <c r="B137" s="19" t="s">
        <v>500</v>
      </c>
      <c r="C137" s="20" t="s">
        <v>501</v>
      </c>
      <c r="D137" s="20" t="s">
        <v>501</v>
      </c>
      <c r="E137" s="21"/>
      <c r="F137" s="20"/>
      <c r="G137" s="19" t="s">
        <v>569</v>
      </c>
      <c r="H137" s="21" t="s">
        <v>570</v>
      </c>
      <c r="I137" s="21" t="s">
        <v>16</v>
      </c>
      <c r="J137" s="20" t="s">
        <v>210</v>
      </c>
      <c r="K137" s="20" t="s">
        <v>571</v>
      </c>
    </row>
    <row r="138" spans="1:11" ht="46" customHeight="1">
      <c r="A138" s="19">
        <v>134</v>
      </c>
      <c r="B138" s="19" t="s">
        <v>500</v>
      </c>
      <c r="C138" s="20" t="s">
        <v>501</v>
      </c>
      <c r="D138" s="20" t="s">
        <v>501</v>
      </c>
      <c r="E138" s="21"/>
      <c r="F138" s="20"/>
      <c r="G138" s="19" t="s">
        <v>572</v>
      </c>
      <c r="H138" s="21" t="s">
        <v>573</v>
      </c>
      <c r="I138" s="21" t="s">
        <v>16</v>
      </c>
      <c r="J138" s="20" t="s">
        <v>574</v>
      </c>
      <c r="K138" s="20" t="s">
        <v>575</v>
      </c>
    </row>
    <row r="139" spans="1:11" ht="46" customHeight="1">
      <c r="A139" s="19">
        <v>135</v>
      </c>
      <c r="B139" s="19" t="s">
        <v>500</v>
      </c>
      <c r="C139" s="20" t="s">
        <v>501</v>
      </c>
      <c r="D139" s="20" t="s">
        <v>501</v>
      </c>
      <c r="E139" s="21"/>
      <c r="F139" s="20"/>
      <c r="G139" s="19" t="s">
        <v>576</v>
      </c>
      <c r="H139" s="21" t="s">
        <v>577</v>
      </c>
      <c r="I139" s="21" t="s">
        <v>16</v>
      </c>
      <c r="J139" s="20" t="s">
        <v>578</v>
      </c>
      <c r="K139" s="20" t="s">
        <v>579</v>
      </c>
    </row>
    <row r="140" spans="1:11" ht="46" customHeight="1">
      <c r="A140" s="19">
        <v>136</v>
      </c>
      <c r="B140" s="19" t="s">
        <v>500</v>
      </c>
      <c r="C140" s="20" t="s">
        <v>501</v>
      </c>
      <c r="D140" s="20" t="s">
        <v>501</v>
      </c>
      <c r="E140" s="21"/>
      <c r="F140" s="20"/>
      <c r="G140" s="19" t="s">
        <v>580</v>
      </c>
      <c r="H140" s="21" t="s">
        <v>581</v>
      </c>
      <c r="I140" s="21" t="s">
        <v>16</v>
      </c>
      <c r="J140" s="20" t="s">
        <v>582</v>
      </c>
      <c r="K140" s="20" t="s">
        <v>583</v>
      </c>
    </row>
    <row r="141" spans="1:11" ht="46" customHeight="1">
      <c r="A141" s="19">
        <v>137</v>
      </c>
      <c r="B141" s="19" t="s">
        <v>500</v>
      </c>
      <c r="C141" s="20" t="s">
        <v>501</v>
      </c>
      <c r="D141" s="20" t="s">
        <v>501</v>
      </c>
      <c r="E141" s="21"/>
      <c r="F141" s="20"/>
      <c r="G141" s="19" t="s">
        <v>584</v>
      </c>
      <c r="H141" s="21" t="s">
        <v>585</v>
      </c>
      <c r="I141" s="21" t="s">
        <v>24</v>
      </c>
      <c r="J141" s="20" t="s">
        <v>586</v>
      </c>
      <c r="K141" s="20" t="s">
        <v>587</v>
      </c>
    </row>
    <row r="142" spans="1:11" ht="46" customHeight="1">
      <c r="A142" s="19">
        <v>138</v>
      </c>
      <c r="B142" s="19" t="s">
        <v>500</v>
      </c>
      <c r="C142" s="20" t="s">
        <v>501</v>
      </c>
      <c r="D142" s="20" t="s">
        <v>501</v>
      </c>
      <c r="E142" s="21"/>
      <c r="F142" s="20"/>
      <c r="G142" s="19" t="s">
        <v>588</v>
      </c>
      <c r="H142" s="21" t="s">
        <v>589</v>
      </c>
      <c r="I142" s="21" t="s">
        <v>16</v>
      </c>
      <c r="J142" s="20" t="s">
        <v>590</v>
      </c>
      <c r="K142" s="20" t="s">
        <v>591</v>
      </c>
    </row>
    <row r="143" spans="1:11" ht="46" customHeight="1">
      <c r="A143" s="19">
        <v>139</v>
      </c>
      <c r="B143" s="19" t="s">
        <v>500</v>
      </c>
      <c r="C143" s="20" t="s">
        <v>501</v>
      </c>
      <c r="D143" s="20" t="s">
        <v>501</v>
      </c>
      <c r="E143" s="21"/>
      <c r="F143" s="20"/>
      <c r="G143" s="19" t="s">
        <v>592</v>
      </c>
      <c r="H143" s="21" t="s">
        <v>593</v>
      </c>
      <c r="I143" s="21" t="s">
        <v>16</v>
      </c>
      <c r="J143" s="20" t="s">
        <v>594</v>
      </c>
      <c r="K143" s="20" t="s">
        <v>595</v>
      </c>
    </row>
    <row r="144" spans="1:11" ht="46" customHeight="1">
      <c r="A144" s="19">
        <v>140</v>
      </c>
      <c r="B144" s="19" t="s">
        <v>500</v>
      </c>
      <c r="C144" s="20" t="s">
        <v>501</v>
      </c>
      <c r="D144" s="20" t="s">
        <v>501</v>
      </c>
      <c r="E144" s="21"/>
      <c r="F144" s="20"/>
      <c r="G144" s="19" t="s">
        <v>596</v>
      </c>
      <c r="H144" s="21" t="s">
        <v>597</v>
      </c>
      <c r="I144" s="21" t="s">
        <v>16</v>
      </c>
      <c r="J144" s="20" t="s">
        <v>598</v>
      </c>
      <c r="K144" s="20" t="s">
        <v>599</v>
      </c>
    </row>
    <row r="145" spans="1:11" ht="46" customHeight="1">
      <c r="A145" s="19">
        <v>141</v>
      </c>
      <c r="B145" s="19" t="s">
        <v>500</v>
      </c>
      <c r="C145" s="20" t="s">
        <v>501</v>
      </c>
      <c r="D145" s="20" t="s">
        <v>501</v>
      </c>
      <c r="E145" s="21"/>
      <c r="F145" s="20"/>
      <c r="G145" s="19" t="s">
        <v>600</v>
      </c>
      <c r="H145" s="21" t="s">
        <v>601</v>
      </c>
      <c r="I145" s="21" t="s">
        <v>24</v>
      </c>
      <c r="J145" s="20" t="s">
        <v>602</v>
      </c>
      <c r="K145" s="20" t="s">
        <v>603</v>
      </c>
    </row>
    <row r="146" spans="1:11" ht="46" customHeight="1">
      <c r="A146" s="19">
        <v>142</v>
      </c>
      <c r="B146" s="19" t="s">
        <v>500</v>
      </c>
      <c r="C146" s="20" t="s">
        <v>501</v>
      </c>
      <c r="D146" s="20" t="s">
        <v>501</v>
      </c>
      <c r="E146" s="21"/>
      <c r="F146" s="20"/>
      <c r="G146" s="19" t="s">
        <v>604</v>
      </c>
      <c r="H146" s="21" t="s">
        <v>605</v>
      </c>
      <c r="I146" s="21" t="s">
        <v>16</v>
      </c>
      <c r="J146" s="20" t="s">
        <v>606</v>
      </c>
      <c r="K146" s="20" t="s">
        <v>607</v>
      </c>
    </row>
    <row r="147" spans="1:11" ht="46" customHeight="1">
      <c r="A147" s="19">
        <v>143</v>
      </c>
      <c r="B147" s="19" t="s">
        <v>500</v>
      </c>
      <c r="C147" s="20" t="s">
        <v>501</v>
      </c>
      <c r="D147" s="20" t="s">
        <v>501</v>
      </c>
      <c r="E147" s="21"/>
      <c r="F147" s="20"/>
      <c r="G147" s="19" t="s">
        <v>608</v>
      </c>
      <c r="H147" s="21" t="s">
        <v>609</v>
      </c>
      <c r="I147" s="21" t="s">
        <v>16</v>
      </c>
      <c r="J147" s="20" t="s">
        <v>610</v>
      </c>
      <c r="K147" s="20" t="s">
        <v>611</v>
      </c>
    </row>
    <row r="148" spans="1:11" ht="46" customHeight="1">
      <c r="A148" s="19">
        <v>144</v>
      </c>
      <c r="B148" s="19" t="s">
        <v>500</v>
      </c>
      <c r="C148" s="20" t="s">
        <v>501</v>
      </c>
      <c r="D148" s="20" t="s">
        <v>501</v>
      </c>
      <c r="E148" s="21"/>
      <c r="F148" s="20"/>
      <c r="G148" s="19" t="s">
        <v>612</v>
      </c>
      <c r="H148" s="21" t="s">
        <v>613</v>
      </c>
      <c r="I148" s="21" t="s">
        <v>24</v>
      </c>
      <c r="J148" s="20" t="s">
        <v>614</v>
      </c>
      <c r="K148" s="20" t="s">
        <v>615</v>
      </c>
    </row>
    <row r="149" spans="1:11" ht="46" customHeight="1">
      <c r="A149" s="19">
        <v>145</v>
      </c>
      <c r="B149" s="19" t="s">
        <v>616</v>
      </c>
      <c r="C149" s="20" t="s">
        <v>617</v>
      </c>
      <c r="D149" s="20" t="s">
        <v>617</v>
      </c>
      <c r="E149" s="21"/>
      <c r="F149" s="20"/>
      <c r="G149" s="19" t="s">
        <v>618</v>
      </c>
      <c r="H149" s="21" t="s">
        <v>619</v>
      </c>
      <c r="I149" s="21" t="s">
        <v>16</v>
      </c>
      <c r="J149" s="20" t="s">
        <v>338</v>
      </c>
      <c r="K149" s="20" t="s">
        <v>620</v>
      </c>
    </row>
    <row r="150" spans="1:11" ht="46" customHeight="1">
      <c r="A150" s="19">
        <v>146</v>
      </c>
      <c r="B150" s="19" t="s">
        <v>616</v>
      </c>
      <c r="C150" s="20" t="s">
        <v>617</v>
      </c>
      <c r="D150" s="20" t="s">
        <v>617</v>
      </c>
      <c r="E150" s="21"/>
      <c r="F150" s="20"/>
      <c r="G150" s="19" t="s">
        <v>621</v>
      </c>
      <c r="H150" s="21" t="s">
        <v>622</v>
      </c>
      <c r="I150" s="21" t="s">
        <v>16</v>
      </c>
      <c r="J150" s="20" t="s">
        <v>158</v>
      </c>
      <c r="K150" s="20" t="s">
        <v>623</v>
      </c>
    </row>
    <row r="151" spans="1:11" ht="46" customHeight="1">
      <c r="A151" s="19">
        <v>147</v>
      </c>
      <c r="B151" s="19" t="s">
        <v>616</v>
      </c>
      <c r="C151" s="20" t="s">
        <v>617</v>
      </c>
      <c r="D151" s="20" t="s">
        <v>617</v>
      </c>
      <c r="E151" s="21"/>
      <c r="F151" s="20"/>
      <c r="G151" s="19" t="s">
        <v>624</v>
      </c>
      <c r="H151" s="21" t="s">
        <v>625</v>
      </c>
      <c r="I151" s="21" t="s">
        <v>16</v>
      </c>
      <c r="J151" s="20" t="s">
        <v>626</v>
      </c>
      <c r="K151" s="20" t="s">
        <v>627</v>
      </c>
    </row>
    <row r="152" spans="1:11" ht="46" customHeight="1">
      <c r="A152" s="19">
        <v>148</v>
      </c>
      <c r="B152" s="19" t="s">
        <v>616</v>
      </c>
      <c r="C152" s="20" t="s">
        <v>617</v>
      </c>
      <c r="D152" s="20" t="s">
        <v>617</v>
      </c>
      <c r="E152" s="21"/>
      <c r="F152" s="20"/>
      <c r="G152" s="19" t="s">
        <v>628</v>
      </c>
      <c r="H152" s="21" t="s">
        <v>629</v>
      </c>
      <c r="I152" s="21" t="s">
        <v>16</v>
      </c>
      <c r="J152" s="20" t="s">
        <v>630</v>
      </c>
      <c r="K152" s="20" t="s">
        <v>631</v>
      </c>
    </row>
    <row r="153" spans="1:11" ht="46" customHeight="1">
      <c r="A153" s="19">
        <v>149</v>
      </c>
      <c r="B153" s="19" t="s">
        <v>616</v>
      </c>
      <c r="C153" s="20" t="s">
        <v>617</v>
      </c>
      <c r="D153" s="20" t="s">
        <v>617</v>
      </c>
      <c r="E153" s="21"/>
      <c r="F153" s="20"/>
      <c r="G153" s="19" t="s">
        <v>632</v>
      </c>
      <c r="H153" s="21" t="s">
        <v>633</v>
      </c>
      <c r="I153" s="21" t="s">
        <v>16</v>
      </c>
      <c r="J153" s="20" t="s">
        <v>634</v>
      </c>
      <c r="K153" s="20" t="s">
        <v>635</v>
      </c>
    </row>
    <row r="154" spans="1:11" ht="46" customHeight="1">
      <c r="A154" s="19">
        <v>150</v>
      </c>
      <c r="B154" s="19" t="s">
        <v>616</v>
      </c>
      <c r="C154" s="20" t="s">
        <v>617</v>
      </c>
      <c r="D154" s="20" t="s">
        <v>617</v>
      </c>
      <c r="E154" s="21"/>
      <c r="F154" s="20"/>
      <c r="G154" s="19" t="s">
        <v>636</v>
      </c>
      <c r="H154" s="21" t="s">
        <v>637</v>
      </c>
      <c r="I154" s="21" t="s">
        <v>16</v>
      </c>
      <c r="J154" s="20" t="s">
        <v>638</v>
      </c>
      <c r="K154" s="20" t="s">
        <v>639</v>
      </c>
    </row>
    <row r="155" spans="1:11" ht="46" customHeight="1">
      <c r="A155" s="19">
        <v>151</v>
      </c>
      <c r="B155" s="19" t="s">
        <v>616</v>
      </c>
      <c r="C155" s="20" t="s">
        <v>617</v>
      </c>
      <c r="D155" s="20" t="s">
        <v>617</v>
      </c>
      <c r="E155" s="21"/>
      <c r="F155" s="20"/>
      <c r="G155" s="19" t="s">
        <v>640</v>
      </c>
      <c r="H155" s="21" t="s">
        <v>641</v>
      </c>
      <c r="I155" s="21" t="s">
        <v>642</v>
      </c>
      <c r="J155" s="20" t="s">
        <v>643</v>
      </c>
      <c r="K155" s="20" t="s">
        <v>644</v>
      </c>
    </row>
    <row r="156" spans="1:11" ht="46" customHeight="1">
      <c r="A156" s="19">
        <v>152</v>
      </c>
      <c r="B156" s="19" t="s">
        <v>616</v>
      </c>
      <c r="C156" s="20" t="s">
        <v>617</v>
      </c>
      <c r="D156" s="20" t="s">
        <v>617</v>
      </c>
      <c r="E156" s="21"/>
      <c r="F156" s="20"/>
      <c r="G156" s="19" t="s">
        <v>645</v>
      </c>
      <c r="H156" s="21" t="s">
        <v>646</v>
      </c>
      <c r="I156" s="21" t="s">
        <v>16</v>
      </c>
      <c r="J156" s="20" t="s">
        <v>647</v>
      </c>
      <c r="K156" s="20" t="s">
        <v>648</v>
      </c>
    </row>
    <row r="157" spans="1:11" ht="46" customHeight="1">
      <c r="A157" s="19">
        <v>153</v>
      </c>
      <c r="B157" s="19" t="s">
        <v>616</v>
      </c>
      <c r="C157" s="20" t="s">
        <v>617</v>
      </c>
      <c r="D157" s="20" t="s">
        <v>617</v>
      </c>
      <c r="E157" s="21"/>
      <c r="F157" s="20"/>
      <c r="G157" s="19" t="s">
        <v>649</v>
      </c>
      <c r="H157" s="21" t="s">
        <v>650</v>
      </c>
      <c r="I157" s="21" t="s">
        <v>24</v>
      </c>
      <c r="J157" s="20" t="s">
        <v>651</v>
      </c>
      <c r="K157" s="20" t="s">
        <v>652</v>
      </c>
    </row>
    <row r="158" spans="1:11" ht="46" customHeight="1">
      <c r="A158" s="19">
        <v>154</v>
      </c>
      <c r="B158" s="19" t="s">
        <v>616</v>
      </c>
      <c r="C158" s="20" t="s">
        <v>617</v>
      </c>
      <c r="D158" s="20" t="s">
        <v>617</v>
      </c>
      <c r="E158" s="21"/>
      <c r="F158" s="20"/>
      <c r="G158" s="19" t="s">
        <v>653</v>
      </c>
      <c r="H158" s="21" t="s">
        <v>654</v>
      </c>
      <c r="I158" s="21" t="s">
        <v>16</v>
      </c>
      <c r="J158" s="20" t="s">
        <v>655</v>
      </c>
      <c r="K158" s="20" t="s">
        <v>656</v>
      </c>
    </row>
    <row r="159" spans="1:11" ht="46" customHeight="1">
      <c r="A159" s="19">
        <v>155</v>
      </c>
      <c r="B159" s="19" t="s">
        <v>616</v>
      </c>
      <c r="C159" s="20" t="s">
        <v>617</v>
      </c>
      <c r="D159" s="20" t="s">
        <v>617</v>
      </c>
      <c r="E159" s="21"/>
      <c r="F159" s="20"/>
      <c r="G159" s="19" t="s">
        <v>657</v>
      </c>
      <c r="H159" s="21" t="s">
        <v>658</v>
      </c>
      <c r="I159" s="21" t="s">
        <v>16</v>
      </c>
      <c r="J159" s="20" t="s">
        <v>93</v>
      </c>
      <c r="K159" s="20" t="s">
        <v>659</v>
      </c>
    </row>
    <row r="160" spans="1:11" ht="46" customHeight="1">
      <c r="A160" s="19">
        <v>156</v>
      </c>
      <c r="B160" s="19" t="s">
        <v>616</v>
      </c>
      <c r="C160" s="20" t="s">
        <v>617</v>
      </c>
      <c r="D160" s="20" t="s">
        <v>617</v>
      </c>
      <c r="E160" s="21"/>
      <c r="F160" s="20"/>
      <c r="G160" s="19" t="s">
        <v>660</v>
      </c>
      <c r="H160" s="21" t="s">
        <v>661</v>
      </c>
      <c r="I160" s="21" t="s">
        <v>16</v>
      </c>
      <c r="J160" s="20" t="s">
        <v>70</v>
      </c>
      <c r="K160" s="20" t="s">
        <v>662</v>
      </c>
    </row>
    <row r="161" spans="1:11" ht="46" customHeight="1">
      <c r="A161" s="19">
        <v>157</v>
      </c>
      <c r="B161" s="19" t="s">
        <v>616</v>
      </c>
      <c r="C161" s="20" t="s">
        <v>617</v>
      </c>
      <c r="D161" s="20" t="s">
        <v>617</v>
      </c>
      <c r="E161" s="21"/>
      <c r="F161" s="20"/>
      <c r="G161" s="19" t="s">
        <v>663</v>
      </c>
      <c r="H161" s="21" t="s">
        <v>664</v>
      </c>
      <c r="I161" s="21" t="s">
        <v>24</v>
      </c>
      <c r="J161" s="20" t="s">
        <v>665</v>
      </c>
      <c r="K161" s="20" t="s">
        <v>666</v>
      </c>
    </row>
    <row r="162" spans="1:11" ht="46" customHeight="1">
      <c r="A162" s="19">
        <v>158</v>
      </c>
      <c r="B162" s="19" t="s">
        <v>616</v>
      </c>
      <c r="C162" s="20" t="s">
        <v>617</v>
      </c>
      <c r="D162" s="20" t="s">
        <v>617</v>
      </c>
      <c r="E162" s="21"/>
      <c r="F162" s="20"/>
      <c r="G162" s="19" t="s">
        <v>667</v>
      </c>
      <c r="H162" s="21" t="s">
        <v>668</v>
      </c>
      <c r="I162" s="21" t="s">
        <v>16</v>
      </c>
      <c r="J162" s="20" t="s">
        <v>669</v>
      </c>
      <c r="K162" s="20" t="s">
        <v>670</v>
      </c>
    </row>
    <row r="163" spans="1:11" ht="46" customHeight="1">
      <c r="A163" s="19">
        <v>159</v>
      </c>
      <c r="B163" s="19" t="s">
        <v>616</v>
      </c>
      <c r="C163" s="20" t="s">
        <v>617</v>
      </c>
      <c r="D163" s="20" t="s">
        <v>617</v>
      </c>
      <c r="E163" s="21"/>
      <c r="F163" s="20"/>
      <c r="G163" s="19" t="s">
        <v>671</v>
      </c>
      <c r="H163" s="21" t="s">
        <v>672</v>
      </c>
      <c r="I163" s="21" t="s">
        <v>16</v>
      </c>
      <c r="J163" s="20" t="s">
        <v>132</v>
      </c>
      <c r="K163" s="20" t="s">
        <v>673</v>
      </c>
    </row>
    <row r="164" spans="1:11" ht="46" customHeight="1">
      <c r="A164" s="19">
        <v>160</v>
      </c>
      <c r="B164" s="19" t="s">
        <v>616</v>
      </c>
      <c r="C164" s="20" t="s">
        <v>617</v>
      </c>
      <c r="D164" s="20" t="s">
        <v>617</v>
      </c>
      <c r="E164" s="21"/>
      <c r="F164" s="20"/>
      <c r="G164" s="19" t="s">
        <v>674</v>
      </c>
      <c r="H164" s="21" t="s">
        <v>675</v>
      </c>
      <c r="I164" s="21" t="s">
        <v>16</v>
      </c>
      <c r="J164" s="20" t="s">
        <v>676</v>
      </c>
      <c r="K164" s="20" t="s">
        <v>677</v>
      </c>
    </row>
    <row r="165" spans="1:11" ht="46" customHeight="1">
      <c r="A165" s="19">
        <v>161</v>
      </c>
      <c r="B165" s="19" t="s">
        <v>616</v>
      </c>
      <c r="C165" s="20" t="s">
        <v>617</v>
      </c>
      <c r="D165" s="20" t="s">
        <v>617</v>
      </c>
      <c r="E165" s="21"/>
      <c r="F165" s="20"/>
      <c r="G165" s="19" t="s">
        <v>678</v>
      </c>
      <c r="H165" s="21" t="s">
        <v>679</v>
      </c>
      <c r="I165" s="21" t="s">
        <v>16</v>
      </c>
      <c r="J165" s="20" t="s">
        <v>78</v>
      </c>
      <c r="K165" s="20" t="s">
        <v>680</v>
      </c>
    </row>
    <row r="166" spans="1:11" ht="46" customHeight="1">
      <c r="A166" s="19">
        <v>162</v>
      </c>
      <c r="B166" s="19" t="s">
        <v>616</v>
      </c>
      <c r="C166" s="20" t="s">
        <v>617</v>
      </c>
      <c r="D166" s="20" t="s">
        <v>617</v>
      </c>
      <c r="E166" s="21"/>
      <c r="F166" s="20"/>
      <c r="G166" s="19" t="s">
        <v>681</v>
      </c>
      <c r="H166" s="21" t="s">
        <v>682</v>
      </c>
      <c r="I166" s="21" t="s">
        <v>16</v>
      </c>
      <c r="J166" s="20" t="s">
        <v>93</v>
      </c>
      <c r="K166" s="20" t="s">
        <v>683</v>
      </c>
    </row>
    <row r="167" spans="1:11" ht="46" customHeight="1">
      <c r="A167" s="19">
        <v>163</v>
      </c>
      <c r="B167" s="19" t="s">
        <v>616</v>
      </c>
      <c r="C167" s="20" t="s">
        <v>617</v>
      </c>
      <c r="D167" s="20" t="s">
        <v>617</v>
      </c>
      <c r="E167" s="21"/>
      <c r="F167" s="20"/>
      <c r="G167" s="19" t="s">
        <v>684</v>
      </c>
      <c r="H167" s="21" t="s">
        <v>685</v>
      </c>
      <c r="I167" s="21" t="s">
        <v>16</v>
      </c>
      <c r="J167" s="20" t="s">
        <v>676</v>
      </c>
      <c r="K167" s="20" t="s">
        <v>686</v>
      </c>
    </row>
    <row r="168" spans="1:11" ht="46" customHeight="1">
      <c r="A168" s="19">
        <v>164</v>
      </c>
      <c r="B168" s="19" t="s">
        <v>616</v>
      </c>
      <c r="C168" s="20" t="s">
        <v>617</v>
      </c>
      <c r="D168" s="20" t="s">
        <v>617</v>
      </c>
      <c r="E168" s="21"/>
      <c r="F168" s="20"/>
      <c r="G168" s="19" t="s">
        <v>687</v>
      </c>
      <c r="H168" s="21" t="s">
        <v>688</v>
      </c>
      <c r="I168" s="21" t="s">
        <v>16</v>
      </c>
      <c r="J168" s="20" t="s">
        <v>689</v>
      </c>
      <c r="K168" s="20" t="s">
        <v>690</v>
      </c>
    </row>
    <row r="169" spans="1:11" ht="46" customHeight="1">
      <c r="A169" s="19">
        <v>165</v>
      </c>
      <c r="B169" s="19" t="s">
        <v>616</v>
      </c>
      <c r="C169" s="20" t="s">
        <v>617</v>
      </c>
      <c r="D169" s="20" t="s">
        <v>617</v>
      </c>
      <c r="E169" s="21"/>
      <c r="F169" s="20"/>
      <c r="G169" s="19" t="s">
        <v>691</v>
      </c>
      <c r="H169" s="21" t="s">
        <v>692</v>
      </c>
      <c r="I169" s="21" t="s">
        <v>16</v>
      </c>
      <c r="J169" s="20" t="s">
        <v>70</v>
      </c>
      <c r="K169" s="20" t="s">
        <v>693</v>
      </c>
    </row>
    <row r="170" spans="1:11" ht="46" customHeight="1">
      <c r="A170" s="19">
        <v>166</v>
      </c>
      <c r="B170" s="19" t="s">
        <v>616</v>
      </c>
      <c r="C170" s="20" t="s">
        <v>617</v>
      </c>
      <c r="D170" s="20" t="s">
        <v>617</v>
      </c>
      <c r="E170" s="21"/>
      <c r="F170" s="20"/>
      <c r="G170" s="19" t="s">
        <v>694</v>
      </c>
      <c r="H170" s="21" t="s">
        <v>695</v>
      </c>
      <c r="I170" s="21" t="s">
        <v>16</v>
      </c>
      <c r="J170" s="20" t="s">
        <v>696</v>
      </c>
      <c r="K170" s="20" t="s">
        <v>697</v>
      </c>
    </row>
    <row r="171" spans="1:11" ht="46" customHeight="1">
      <c r="A171" s="19">
        <v>167</v>
      </c>
      <c r="B171" s="19" t="s">
        <v>616</v>
      </c>
      <c r="C171" s="20" t="s">
        <v>617</v>
      </c>
      <c r="D171" s="20" t="s">
        <v>617</v>
      </c>
      <c r="E171" s="21"/>
      <c r="F171" s="20"/>
      <c r="G171" s="19" t="s">
        <v>698</v>
      </c>
      <c r="H171" s="21" t="s">
        <v>699</v>
      </c>
      <c r="I171" s="21" t="s">
        <v>16</v>
      </c>
      <c r="J171" s="20" t="s">
        <v>700</v>
      </c>
      <c r="K171" s="20" t="s">
        <v>701</v>
      </c>
    </row>
    <row r="172" spans="1:11" ht="46" customHeight="1">
      <c r="A172" s="19">
        <v>168</v>
      </c>
      <c r="B172" s="19" t="s">
        <v>616</v>
      </c>
      <c r="C172" s="20" t="s">
        <v>617</v>
      </c>
      <c r="D172" s="20" t="s">
        <v>617</v>
      </c>
      <c r="E172" s="21"/>
      <c r="F172" s="20"/>
      <c r="G172" s="19" t="s">
        <v>702</v>
      </c>
      <c r="H172" s="21" t="s">
        <v>703</v>
      </c>
      <c r="I172" s="21" t="s">
        <v>24</v>
      </c>
      <c r="J172" s="20" t="s">
        <v>704</v>
      </c>
      <c r="K172" s="20" t="s">
        <v>705</v>
      </c>
    </row>
    <row r="173" spans="1:11" ht="46" customHeight="1">
      <c r="A173" s="19">
        <v>169</v>
      </c>
      <c r="B173" s="19" t="s">
        <v>616</v>
      </c>
      <c r="C173" s="20" t="s">
        <v>617</v>
      </c>
      <c r="D173" s="20" t="s">
        <v>617</v>
      </c>
      <c r="E173" s="21"/>
      <c r="F173" s="20"/>
      <c r="G173" s="19" t="s">
        <v>706</v>
      </c>
      <c r="H173" s="21" t="s">
        <v>707</v>
      </c>
      <c r="I173" s="21" t="s">
        <v>24</v>
      </c>
      <c r="J173" s="20" t="s">
        <v>78</v>
      </c>
      <c r="K173" s="20" t="s">
        <v>708</v>
      </c>
    </row>
    <row r="174" spans="1:11" ht="46" customHeight="1">
      <c r="A174" s="19">
        <v>170</v>
      </c>
      <c r="B174" s="19" t="s">
        <v>616</v>
      </c>
      <c r="C174" s="20" t="s">
        <v>617</v>
      </c>
      <c r="D174" s="20" t="s">
        <v>617</v>
      </c>
      <c r="E174" s="21"/>
      <c r="F174" s="20"/>
      <c r="G174" s="19" t="s">
        <v>709</v>
      </c>
      <c r="H174" s="21" t="s">
        <v>710</v>
      </c>
      <c r="I174" s="21" t="s">
        <v>24</v>
      </c>
      <c r="J174" s="20" t="s">
        <v>711</v>
      </c>
      <c r="K174" s="20" t="s">
        <v>712</v>
      </c>
    </row>
    <row r="175" spans="1:11" ht="46" customHeight="1">
      <c r="A175" s="19">
        <v>171</v>
      </c>
      <c r="B175" s="19" t="s">
        <v>616</v>
      </c>
      <c r="C175" s="20" t="s">
        <v>617</v>
      </c>
      <c r="D175" s="20" t="s">
        <v>617</v>
      </c>
      <c r="E175" s="21"/>
      <c r="F175" s="20"/>
      <c r="G175" s="19" t="s">
        <v>713</v>
      </c>
      <c r="H175" s="21" t="s">
        <v>714</v>
      </c>
      <c r="I175" s="21" t="s">
        <v>24</v>
      </c>
      <c r="J175" s="20" t="s">
        <v>70</v>
      </c>
      <c r="K175" s="20" t="s">
        <v>715</v>
      </c>
    </row>
    <row r="176" spans="1:11" ht="46" customHeight="1">
      <c r="A176" s="19">
        <v>172</v>
      </c>
      <c r="B176" s="19" t="s">
        <v>616</v>
      </c>
      <c r="C176" s="20" t="s">
        <v>617</v>
      </c>
      <c r="D176" s="20" t="s">
        <v>617</v>
      </c>
      <c r="E176" s="21"/>
      <c r="F176" s="20"/>
      <c r="G176" s="19" t="s">
        <v>716</v>
      </c>
      <c r="H176" s="21" t="s">
        <v>717</v>
      </c>
      <c r="I176" s="21" t="s">
        <v>718</v>
      </c>
      <c r="J176" s="20" t="s">
        <v>719</v>
      </c>
      <c r="K176" s="20" t="s">
        <v>720</v>
      </c>
    </row>
    <row r="177" spans="1:11" ht="46" customHeight="1">
      <c r="A177" s="19">
        <v>173</v>
      </c>
      <c r="B177" s="19" t="s">
        <v>616</v>
      </c>
      <c r="C177" s="20" t="s">
        <v>617</v>
      </c>
      <c r="D177" s="20" t="s">
        <v>617</v>
      </c>
      <c r="E177" s="21"/>
      <c r="F177" s="20"/>
      <c r="G177" s="19" t="s">
        <v>721</v>
      </c>
      <c r="H177" s="21" t="s">
        <v>722</v>
      </c>
      <c r="I177" s="21" t="s">
        <v>718</v>
      </c>
      <c r="J177" s="20" t="s">
        <v>723</v>
      </c>
      <c r="K177" s="20" t="s">
        <v>724</v>
      </c>
    </row>
    <row r="178" spans="1:11" ht="46" customHeight="1">
      <c r="A178" s="19">
        <v>174</v>
      </c>
      <c r="B178" s="19" t="s">
        <v>616</v>
      </c>
      <c r="C178" s="20" t="s">
        <v>617</v>
      </c>
      <c r="D178" s="20" t="s">
        <v>617</v>
      </c>
      <c r="E178" s="21"/>
      <c r="F178" s="20"/>
      <c r="G178" s="19" t="s">
        <v>725</v>
      </c>
      <c r="H178" s="21" t="s">
        <v>726</v>
      </c>
      <c r="I178" s="21" t="s">
        <v>16</v>
      </c>
      <c r="J178" s="20" t="s">
        <v>727</v>
      </c>
      <c r="K178" s="20" t="s">
        <v>728</v>
      </c>
    </row>
    <row r="179" spans="1:11" ht="46" customHeight="1">
      <c r="A179" s="19">
        <v>175</v>
      </c>
      <c r="B179" s="19" t="s">
        <v>616</v>
      </c>
      <c r="C179" s="20" t="s">
        <v>617</v>
      </c>
      <c r="D179" s="20" t="s">
        <v>617</v>
      </c>
      <c r="E179" s="21"/>
      <c r="F179" s="20"/>
      <c r="G179" s="19" t="s">
        <v>729</v>
      </c>
      <c r="H179" s="21" t="s">
        <v>730</v>
      </c>
      <c r="I179" s="21" t="s">
        <v>16</v>
      </c>
      <c r="J179" s="20" t="s">
        <v>731</v>
      </c>
      <c r="K179" s="20" t="s">
        <v>732</v>
      </c>
    </row>
    <row r="180" spans="1:11" ht="46" customHeight="1">
      <c r="A180" s="19">
        <v>176</v>
      </c>
      <c r="B180" s="19" t="s">
        <v>616</v>
      </c>
      <c r="C180" s="20" t="s">
        <v>617</v>
      </c>
      <c r="D180" s="20" t="s">
        <v>617</v>
      </c>
      <c r="E180" s="21"/>
      <c r="F180" s="20"/>
      <c r="G180" s="19" t="s">
        <v>733</v>
      </c>
      <c r="H180" s="21" t="s">
        <v>734</v>
      </c>
      <c r="I180" s="21" t="s">
        <v>24</v>
      </c>
      <c r="J180" s="20" t="s">
        <v>735</v>
      </c>
      <c r="K180" s="20" t="s">
        <v>736</v>
      </c>
    </row>
    <row r="181" spans="1:11" ht="46" customHeight="1">
      <c r="A181" s="19">
        <v>177</v>
      </c>
      <c r="B181" s="19" t="s">
        <v>616</v>
      </c>
      <c r="C181" s="20" t="s">
        <v>617</v>
      </c>
      <c r="D181" s="20" t="s">
        <v>617</v>
      </c>
      <c r="E181" s="21"/>
      <c r="F181" s="20"/>
      <c r="G181" s="19" t="s">
        <v>737</v>
      </c>
      <c r="H181" s="21" t="s">
        <v>738</v>
      </c>
      <c r="I181" s="21" t="s">
        <v>16</v>
      </c>
      <c r="J181" s="20" t="s">
        <v>739</v>
      </c>
      <c r="K181" s="20" t="s">
        <v>740</v>
      </c>
    </row>
    <row r="182" spans="1:11" ht="46" customHeight="1">
      <c r="A182" s="19">
        <v>178</v>
      </c>
      <c r="B182" s="19" t="s">
        <v>741</v>
      </c>
      <c r="C182" s="20" t="s">
        <v>742</v>
      </c>
      <c r="D182" s="20" t="s">
        <v>742</v>
      </c>
      <c r="E182" s="21"/>
      <c r="F182" s="20"/>
      <c r="G182" s="19" t="s">
        <v>743</v>
      </c>
      <c r="H182" s="21" t="s">
        <v>744</v>
      </c>
      <c r="I182" s="21" t="s">
        <v>16</v>
      </c>
      <c r="J182" s="20" t="s">
        <v>338</v>
      </c>
      <c r="K182" s="20" t="s">
        <v>745</v>
      </c>
    </row>
    <row r="183" spans="1:11" ht="46" customHeight="1">
      <c r="A183" s="19">
        <v>179</v>
      </c>
      <c r="B183" s="19" t="s">
        <v>741</v>
      </c>
      <c r="C183" s="20" t="s">
        <v>742</v>
      </c>
      <c r="D183" s="20" t="s">
        <v>742</v>
      </c>
      <c r="E183" s="21"/>
      <c r="F183" s="20"/>
      <c r="G183" s="19" t="s">
        <v>746</v>
      </c>
      <c r="H183" s="21" t="s">
        <v>747</v>
      </c>
      <c r="I183" s="21" t="s">
        <v>16</v>
      </c>
      <c r="J183" s="20" t="s">
        <v>158</v>
      </c>
      <c r="K183" s="20" t="s">
        <v>748</v>
      </c>
    </row>
    <row r="184" spans="1:11" ht="46" customHeight="1">
      <c r="A184" s="19">
        <v>180</v>
      </c>
      <c r="B184" s="19" t="s">
        <v>741</v>
      </c>
      <c r="C184" s="20" t="s">
        <v>742</v>
      </c>
      <c r="D184" s="20" t="s">
        <v>742</v>
      </c>
      <c r="E184" s="21"/>
      <c r="F184" s="20"/>
      <c r="G184" s="19" t="s">
        <v>749</v>
      </c>
      <c r="H184" s="21" t="s">
        <v>750</v>
      </c>
      <c r="I184" s="21" t="s">
        <v>16</v>
      </c>
      <c r="J184" s="20" t="s">
        <v>173</v>
      </c>
      <c r="K184" s="20" t="s">
        <v>751</v>
      </c>
    </row>
    <row r="185" spans="1:11" ht="46" customHeight="1">
      <c r="A185" s="19">
        <v>181</v>
      </c>
      <c r="B185" s="19" t="s">
        <v>741</v>
      </c>
      <c r="C185" s="20" t="s">
        <v>742</v>
      </c>
      <c r="D185" s="20" t="s">
        <v>742</v>
      </c>
      <c r="E185" s="21"/>
      <c r="F185" s="20"/>
      <c r="G185" s="19" t="s">
        <v>752</v>
      </c>
      <c r="H185" s="21" t="s">
        <v>753</v>
      </c>
      <c r="I185" s="21" t="s">
        <v>24</v>
      </c>
      <c r="J185" s="20" t="s">
        <v>158</v>
      </c>
      <c r="K185" s="20" t="s">
        <v>754</v>
      </c>
    </row>
    <row r="186" spans="1:11" ht="46" customHeight="1">
      <c r="A186" s="19">
        <v>182</v>
      </c>
      <c r="B186" s="19" t="s">
        <v>741</v>
      </c>
      <c r="C186" s="20" t="s">
        <v>742</v>
      </c>
      <c r="D186" s="20" t="s">
        <v>742</v>
      </c>
      <c r="E186" s="21"/>
      <c r="F186" s="20"/>
      <c r="G186" s="19" t="s">
        <v>755</v>
      </c>
      <c r="H186" s="21" t="s">
        <v>756</v>
      </c>
      <c r="I186" s="21" t="s">
        <v>16</v>
      </c>
      <c r="J186" s="20" t="s">
        <v>158</v>
      </c>
      <c r="K186" s="20" t="s">
        <v>757</v>
      </c>
    </row>
    <row r="187" spans="1:11" ht="46" customHeight="1">
      <c r="A187" s="19">
        <v>183</v>
      </c>
      <c r="B187" s="19" t="s">
        <v>741</v>
      </c>
      <c r="C187" s="20" t="s">
        <v>742</v>
      </c>
      <c r="D187" s="20" t="s">
        <v>742</v>
      </c>
      <c r="E187" s="21"/>
      <c r="F187" s="20"/>
      <c r="G187" s="19" t="s">
        <v>758</v>
      </c>
      <c r="H187" s="21" t="s">
        <v>759</v>
      </c>
      <c r="I187" s="21" t="s">
        <v>16</v>
      </c>
      <c r="J187" s="20" t="s">
        <v>760</v>
      </c>
      <c r="K187" s="20" t="s">
        <v>761</v>
      </c>
    </row>
    <row r="188" spans="1:11" ht="46" customHeight="1">
      <c r="A188" s="19">
        <v>184</v>
      </c>
      <c r="B188" s="19" t="s">
        <v>741</v>
      </c>
      <c r="C188" s="20" t="s">
        <v>742</v>
      </c>
      <c r="D188" s="20" t="s">
        <v>742</v>
      </c>
      <c r="E188" s="21"/>
      <c r="F188" s="20"/>
      <c r="G188" s="19" t="s">
        <v>762</v>
      </c>
      <c r="H188" s="21" t="s">
        <v>763</v>
      </c>
      <c r="I188" s="21" t="s">
        <v>24</v>
      </c>
      <c r="J188" s="20" t="s">
        <v>764</v>
      </c>
      <c r="K188" s="20" t="s">
        <v>765</v>
      </c>
    </row>
    <row r="189" spans="1:11" ht="46" customHeight="1">
      <c r="A189" s="19">
        <v>185</v>
      </c>
      <c r="B189" s="19" t="s">
        <v>741</v>
      </c>
      <c r="C189" s="20" t="s">
        <v>742</v>
      </c>
      <c r="D189" s="20" t="s">
        <v>742</v>
      </c>
      <c r="E189" s="21"/>
      <c r="F189" s="20"/>
      <c r="G189" s="19" t="s">
        <v>766</v>
      </c>
      <c r="H189" s="21" t="s">
        <v>767</v>
      </c>
      <c r="I189" s="21" t="s">
        <v>16</v>
      </c>
      <c r="J189" s="20" t="s">
        <v>768</v>
      </c>
      <c r="K189" s="20" t="s">
        <v>769</v>
      </c>
    </row>
    <row r="190" spans="1:11" ht="46" customHeight="1">
      <c r="A190" s="19">
        <v>186</v>
      </c>
      <c r="B190" s="19" t="s">
        <v>741</v>
      </c>
      <c r="C190" s="20" t="s">
        <v>742</v>
      </c>
      <c r="D190" s="20" t="s">
        <v>742</v>
      </c>
      <c r="E190" s="21"/>
      <c r="F190" s="20"/>
      <c r="G190" s="19" t="s">
        <v>770</v>
      </c>
      <c r="H190" s="21" t="s">
        <v>771</v>
      </c>
      <c r="I190" s="21" t="s">
        <v>24</v>
      </c>
      <c r="J190" s="20" t="s">
        <v>772</v>
      </c>
      <c r="K190" s="20" t="s">
        <v>773</v>
      </c>
    </row>
    <row r="191" spans="1:11" ht="46" customHeight="1">
      <c r="A191" s="19">
        <v>187</v>
      </c>
      <c r="B191" s="19" t="s">
        <v>741</v>
      </c>
      <c r="C191" s="20" t="s">
        <v>742</v>
      </c>
      <c r="D191" s="20" t="s">
        <v>742</v>
      </c>
      <c r="E191" s="21"/>
      <c r="F191" s="20"/>
      <c r="G191" s="19" t="s">
        <v>774</v>
      </c>
      <c r="H191" s="21" t="s">
        <v>775</v>
      </c>
      <c r="I191" s="21" t="s">
        <v>16</v>
      </c>
      <c r="J191" s="20" t="s">
        <v>776</v>
      </c>
      <c r="K191" s="20" t="s">
        <v>777</v>
      </c>
    </row>
    <row r="192" spans="1:11" ht="46" customHeight="1">
      <c r="A192" s="19">
        <v>188</v>
      </c>
      <c r="B192" s="19" t="s">
        <v>741</v>
      </c>
      <c r="C192" s="20" t="s">
        <v>742</v>
      </c>
      <c r="D192" s="20" t="s">
        <v>742</v>
      </c>
      <c r="E192" s="21"/>
      <c r="F192" s="20"/>
      <c r="G192" s="19" t="s">
        <v>778</v>
      </c>
      <c r="H192" s="21" t="s">
        <v>779</v>
      </c>
      <c r="I192" s="21" t="s">
        <v>24</v>
      </c>
      <c r="J192" s="20" t="s">
        <v>780</v>
      </c>
      <c r="K192" s="20" t="s">
        <v>781</v>
      </c>
    </row>
    <row r="193" spans="1:11" ht="46" customHeight="1">
      <c r="A193" s="19">
        <v>189</v>
      </c>
      <c r="B193" s="19" t="s">
        <v>741</v>
      </c>
      <c r="C193" s="20" t="s">
        <v>742</v>
      </c>
      <c r="D193" s="20" t="s">
        <v>742</v>
      </c>
      <c r="E193" s="21"/>
      <c r="F193" s="20"/>
      <c r="G193" s="19" t="s">
        <v>782</v>
      </c>
      <c r="H193" s="21" t="s">
        <v>783</v>
      </c>
      <c r="I193" s="21" t="s">
        <v>16</v>
      </c>
      <c r="J193" s="20" t="s">
        <v>784</v>
      </c>
      <c r="K193" s="20" t="s">
        <v>785</v>
      </c>
    </row>
    <row r="194" spans="1:11" ht="46" customHeight="1">
      <c r="A194" s="19">
        <v>190</v>
      </c>
      <c r="B194" s="19" t="s">
        <v>741</v>
      </c>
      <c r="C194" s="20" t="s">
        <v>742</v>
      </c>
      <c r="D194" s="20" t="s">
        <v>742</v>
      </c>
      <c r="E194" s="21"/>
      <c r="F194" s="20"/>
      <c r="G194" s="19" t="s">
        <v>786</v>
      </c>
      <c r="H194" s="21" t="s">
        <v>787</v>
      </c>
      <c r="I194" s="21" t="s">
        <v>16</v>
      </c>
      <c r="J194" s="20" t="s">
        <v>78</v>
      </c>
      <c r="K194" s="20" t="s">
        <v>788</v>
      </c>
    </row>
    <row r="195" spans="1:11" ht="46" customHeight="1">
      <c r="A195" s="19">
        <v>191</v>
      </c>
      <c r="B195" s="19" t="s">
        <v>741</v>
      </c>
      <c r="C195" s="20" t="s">
        <v>742</v>
      </c>
      <c r="D195" s="20" t="s">
        <v>742</v>
      </c>
      <c r="E195" s="21"/>
      <c r="F195" s="20"/>
      <c r="G195" s="19" t="s">
        <v>789</v>
      </c>
      <c r="H195" s="21" t="s">
        <v>790</v>
      </c>
      <c r="I195" s="21" t="s">
        <v>16</v>
      </c>
      <c r="J195" s="20" t="s">
        <v>791</v>
      </c>
      <c r="K195" s="20" t="s">
        <v>792</v>
      </c>
    </row>
    <row r="196" spans="1:11" ht="46" customHeight="1">
      <c r="A196" s="19">
        <v>192</v>
      </c>
      <c r="B196" s="19" t="s">
        <v>741</v>
      </c>
      <c r="C196" s="20" t="s">
        <v>742</v>
      </c>
      <c r="D196" s="20" t="s">
        <v>742</v>
      </c>
      <c r="E196" s="21"/>
      <c r="F196" s="20"/>
      <c r="G196" s="19" t="s">
        <v>793</v>
      </c>
      <c r="H196" s="21" t="s">
        <v>794</v>
      </c>
      <c r="I196" s="21" t="s">
        <v>16</v>
      </c>
      <c r="J196" s="20" t="s">
        <v>795</v>
      </c>
      <c r="K196" s="20" t="s">
        <v>796</v>
      </c>
    </row>
    <row r="197" spans="1:11" ht="46" customHeight="1">
      <c r="A197" s="19">
        <v>193</v>
      </c>
      <c r="B197" s="19" t="s">
        <v>741</v>
      </c>
      <c r="C197" s="20" t="s">
        <v>742</v>
      </c>
      <c r="D197" s="20" t="s">
        <v>742</v>
      </c>
      <c r="E197" s="21"/>
      <c r="F197" s="20"/>
      <c r="G197" s="19" t="s">
        <v>797</v>
      </c>
      <c r="H197" s="21" t="s">
        <v>798</v>
      </c>
      <c r="I197" s="21" t="s">
        <v>16</v>
      </c>
      <c r="J197" s="20" t="s">
        <v>799</v>
      </c>
      <c r="K197" s="20" t="s">
        <v>800</v>
      </c>
    </row>
    <row r="198" spans="1:11" ht="46" customHeight="1">
      <c r="A198" s="19">
        <v>194</v>
      </c>
      <c r="B198" s="19" t="s">
        <v>741</v>
      </c>
      <c r="C198" s="20" t="s">
        <v>742</v>
      </c>
      <c r="D198" s="20" t="s">
        <v>742</v>
      </c>
      <c r="E198" s="21"/>
      <c r="F198" s="20"/>
      <c r="G198" s="19" t="s">
        <v>801</v>
      </c>
      <c r="H198" s="21" t="s">
        <v>802</v>
      </c>
      <c r="I198" s="21" t="s">
        <v>16</v>
      </c>
      <c r="J198" s="20" t="s">
        <v>803</v>
      </c>
      <c r="K198" s="20" t="s">
        <v>804</v>
      </c>
    </row>
    <row r="199" spans="1:11" ht="46" customHeight="1">
      <c r="A199" s="19">
        <v>195</v>
      </c>
      <c r="B199" s="19" t="s">
        <v>741</v>
      </c>
      <c r="C199" s="20" t="s">
        <v>742</v>
      </c>
      <c r="D199" s="20" t="s">
        <v>742</v>
      </c>
      <c r="E199" s="21"/>
      <c r="F199" s="20"/>
      <c r="G199" s="19" t="s">
        <v>805</v>
      </c>
      <c r="H199" s="21" t="s">
        <v>806</v>
      </c>
      <c r="I199" s="21" t="s">
        <v>16</v>
      </c>
      <c r="J199" s="20" t="s">
        <v>807</v>
      </c>
      <c r="K199" s="20" t="s">
        <v>808</v>
      </c>
    </row>
    <row r="200" spans="1:11" ht="46" customHeight="1">
      <c r="A200" s="19">
        <v>196</v>
      </c>
      <c r="B200" s="19" t="s">
        <v>741</v>
      </c>
      <c r="C200" s="20" t="s">
        <v>742</v>
      </c>
      <c r="D200" s="20" t="s">
        <v>742</v>
      </c>
      <c r="E200" s="21"/>
      <c r="F200" s="20"/>
      <c r="G200" s="19" t="s">
        <v>809</v>
      </c>
      <c r="H200" s="21" t="s">
        <v>810</v>
      </c>
      <c r="I200" s="21" t="s">
        <v>16</v>
      </c>
      <c r="J200" s="20" t="s">
        <v>811</v>
      </c>
      <c r="K200" s="20" t="s">
        <v>812</v>
      </c>
    </row>
    <row r="201" spans="1:11" ht="46" customHeight="1">
      <c r="A201" s="19">
        <v>197</v>
      </c>
      <c r="B201" s="19" t="s">
        <v>741</v>
      </c>
      <c r="C201" s="20" t="s">
        <v>742</v>
      </c>
      <c r="D201" s="20" t="s">
        <v>742</v>
      </c>
      <c r="E201" s="21"/>
      <c r="F201" s="20"/>
      <c r="G201" s="19" t="s">
        <v>813</v>
      </c>
      <c r="H201" s="21" t="s">
        <v>814</v>
      </c>
      <c r="I201" s="21" t="s">
        <v>16</v>
      </c>
      <c r="J201" s="20" t="s">
        <v>815</v>
      </c>
      <c r="K201" s="20" t="s">
        <v>816</v>
      </c>
    </row>
    <row r="202" spans="1:11" ht="46" customHeight="1">
      <c r="A202" s="19">
        <v>198</v>
      </c>
      <c r="B202" s="19" t="s">
        <v>741</v>
      </c>
      <c r="C202" s="20" t="s">
        <v>742</v>
      </c>
      <c r="D202" s="20" t="s">
        <v>742</v>
      </c>
      <c r="E202" s="21"/>
      <c r="F202" s="20"/>
      <c r="G202" s="19" t="s">
        <v>817</v>
      </c>
      <c r="H202" s="21" t="s">
        <v>818</v>
      </c>
      <c r="I202" s="21" t="s">
        <v>16</v>
      </c>
      <c r="J202" s="20" t="s">
        <v>819</v>
      </c>
      <c r="K202" s="20" t="s">
        <v>820</v>
      </c>
    </row>
    <row r="203" spans="1:11" ht="46" customHeight="1">
      <c r="A203" s="19">
        <v>199</v>
      </c>
      <c r="B203" s="19" t="s">
        <v>741</v>
      </c>
      <c r="C203" s="20" t="s">
        <v>742</v>
      </c>
      <c r="D203" s="20" t="s">
        <v>742</v>
      </c>
      <c r="E203" s="21"/>
      <c r="F203" s="20"/>
      <c r="G203" s="19" t="s">
        <v>821</v>
      </c>
      <c r="H203" s="21" t="s">
        <v>822</v>
      </c>
      <c r="I203" s="21" t="s">
        <v>16</v>
      </c>
      <c r="J203" s="20" t="s">
        <v>823</v>
      </c>
      <c r="K203" s="20" t="s">
        <v>824</v>
      </c>
    </row>
    <row r="204" spans="1:11" ht="46" customHeight="1">
      <c r="A204" s="19">
        <v>200</v>
      </c>
      <c r="B204" s="19" t="s">
        <v>741</v>
      </c>
      <c r="C204" s="20" t="s">
        <v>742</v>
      </c>
      <c r="D204" s="20" t="s">
        <v>742</v>
      </c>
      <c r="E204" s="21"/>
      <c r="F204" s="20"/>
      <c r="G204" s="19" t="s">
        <v>825</v>
      </c>
      <c r="H204" s="21" t="s">
        <v>826</v>
      </c>
      <c r="I204" s="21" t="s">
        <v>16</v>
      </c>
      <c r="J204" s="20" t="s">
        <v>827</v>
      </c>
      <c r="K204" s="20" t="s">
        <v>828</v>
      </c>
    </row>
    <row r="205" spans="1:11" ht="46" customHeight="1">
      <c r="A205" s="19">
        <v>201</v>
      </c>
      <c r="B205" s="19" t="s">
        <v>741</v>
      </c>
      <c r="C205" s="20" t="s">
        <v>742</v>
      </c>
      <c r="D205" s="20" t="s">
        <v>742</v>
      </c>
      <c r="E205" s="21"/>
      <c r="F205" s="20"/>
      <c r="G205" s="19" t="s">
        <v>829</v>
      </c>
      <c r="H205" s="21" t="s">
        <v>830</v>
      </c>
      <c r="I205" s="21" t="s">
        <v>16</v>
      </c>
      <c r="J205" s="20" t="s">
        <v>831</v>
      </c>
      <c r="K205" s="20" t="s">
        <v>832</v>
      </c>
    </row>
    <row r="206" spans="1:11" ht="46" customHeight="1">
      <c r="A206" s="19">
        <v>202</v>
      </c>
      <c r="B206" s="19" t="s">
        <v>741</v>
      </c>
      <c r="C206" s="20" t="s">
        <v>742</v>
      </c>
      <c r="D206" s="20" t="s">
        <v>742</v>
      </c>
      <c r="E206" s="21"/>
      <c r="F206" s="20"/>
      <c r="G206" s="19" t="s">
        <v>833</v>
      </c>
      <c r="H206" s="21" t="s">
        <v>834</v>
      </c>
      <c r="I206" s="21" t="s">
        <v>16</v>
      </c>
      <c r="J206" s="20" t="s">
        <v>835</v>
      </c>
      <c r="K206" s="20" t="s">
        <v>836</v>
      </c>
    </row>
    <row r="207" spans="1:11" ht="46" customHeight="1">
      <c r="A207" s="19">
        <v>203</v>
      </c>
      <c r="B207" s="19" t="s">
        <v>741</v>
      </c>
      <c r="C207" s="20" t="s">
        <v>742</v>
      </c>
      <c r="D207" s="20" t="s">
        <v>742</v>
      </c>
      <c r="E207" s="21"/>
      <c r="F207" s="20"/>
      <c r="G207" s="19" t="s">
        <v>837</v>
      </c>
      <c r="H207" s="21" t="s">
        <v>838</v>
      </c>
      <c r="I207" s="21" t="s">
        <v>16</v>
      </c>
      <c r="J207" s="20" t="s">
        <v>839</v>
      </c>
      <c r="K207" s="20" t="s">
        <v>840</v>
      </c>
    </row>
    <row r="208" spans="1:11" ht="46" customHeight="1">
      <c r="A208" s="19">
        <v>204</v>
      </c>
      <c r="B208" s="19" t="s">
        <v>741</v>
      </c>
      <c r="C208" s="20" t="s">
        <v>742</v>
      </c>
      <c r="D208" s="20" t="s">
        <v>742</v>
      </c>
      <c r="E208" s="21"/>
      <c r="F208" s="20"/>
      <c r="G208" s="19" t="s">
        <v>841</v>
      </c>
      <c r="H208" s="21" t="s">
        <v>842</v>
      </c>
      <c r="I208" s="21" t="s">
        <v>24</v>
      </c>
      <c r="J208" s="20" t="s">
        <v>158</v>
      </c>
      <c r="K208" s="20" t="s">
        <v>843</v>
      </c>
    </row>
    <row r="209" spans="1:11" ht="46" customHeight="1">
      <c r="A209" s="19">
        <v>205</v>
      </c>
      <c r="B209" s="19" t="s">
        <v>741</v>
      </c>
      <c r="C209" s="20" t="s">
        <v>742</v>
      </c>
      <c r="D209" s="20" t="s">
        <v>742</v>
      </c>
      <c r="E209" s="21"/>
      <c r="F209" s="20"/>
      <c r="G209" s="19" t="s">
        <v>844</v>
      </c>
      <c r="H209" s="21" t="s">
        <v>845</v>
      </c>
      <c r="I209" s="21" t="s">
        <v>24</v>
      </c>
      <c r="J209" s="20" t="s">
        <v>846</v>
      </c>
      <c r="K209" s="20" t="s">
        <v>847</v>
      </c>
    </row>
    <row r="210" spans="1:11" ht="46" customHeight="1">
      <c r="A210" s="19">
        <v>206</v>
      </c>
      <c r="B210" s="19" t="s">
        <v>741</v>
      </c>
      <c r="C210" s="20" t="s">
        <v>742</v>
      </c>
      <c r="D210" s="20" t="s">
        <v>742</v>
      </c>
      <c r="E210" s="21"/>
      <c r="F210" s="20"/>
      <c r="G210" s="19" t="s">
        <v>848</v>
      </c>
      <c r="H210" s="21" t="s">
        <v>849</v>
      </c>
      <c r="I210" s="21" t="s">
        <v>24</v>
      </c>
      <c r="J210" s="20" t="s">
        <v>850</v>
      </c>
      <c r="K210" s="20" t="s">
        <v>851</v>
      </c>
    </row>
    <row r="211" spans="1:11" ht="46" customHeight="1">
      <c r="A211" s="19">
        <v>207</v>
      </c>
      <c r="B211" s="19" t="s">
        <v>741</v>
      </c>
      <c r="C211" s="20" t="s">
        <v>742</v>
      </c>
      <c r="D211" s="20" t="s">
        <v>742</v>
      </c>
      <c r="E211" s="21"/>
      <c r="F211" s="20"/>
      <c r="G211" s="19" t="s">
        <v>852</v>
      </c>
      <c r="H211" s="21" t="s">
        <v>853</v>
      </c>
      <c r="I211" s="21" t="s">
        <v>24</v>
      </c>
      <c r="J211" s="20" t="s">
        <v>760</v>
      </c>
      <c r="K211" s="20" t="s">
        <v>854</v>
      </c>
    </row>
    <row r="212" spans="1:11" ht="46" customHeight="1">
      <c r="A212" s="19">
        <v>208</v>
      </c>
      <c r="B212" s="19" t="s">
        <v>741</v>
      </c>
      <c r="C212" s="20" t="s">
        <v>742</v>
      </c>
      <c r="D212" s="20" t="s">
        <v>742</v>
      </c>
      <c r="E212" s="21"/>
      <c r="F212" s="20"/>
      <c r="G212" s="19" t="s">
        <v>855</v>
      </c>
      <c r="H212" s="21" t="s">
        <v>856</v>
      </c>
      <c r="I212" s="21" t="s">
        <v>16</v>
      </c>
      <c r="J212" s="20" t="s">
        <v>51</v>
      </c>
      <c r="K212" s="20" t="s">
        <v>857</v>
      </c>
    </row>
    <row r="213" spans="1:11" ht="46" customHeight="1">
      <c r="A213" s="19">
        <v>209</v>
      </c>
      <c r="B213" s="19" t="s">
        <v>741</v>
      </c>
      <c r="C213" s="20" t="s">
        <v>742</v>
      </c>
      <c r="D213" s="20" t="s">
        <v>742</v>
      </c>
      <c r="E213" s="21"/>
      <c r="F213" s="20"/>
      <c r="G213" s="19" t="s">
        <v>858</v>
      </c>
      <c r="H213" s="21" t="s">
        <v>859</v>
      </c>
      <c r="I213" s="21" t="s">
        <v>16</v>
      </c>
      <c r="J213" s="20" t="s">
        <v>860</v>
      </c>
      <c r="K213" s="20" t="s">
        <v>861</v>
      </c>
    </row>
    <row r="214" spans="1:11" ht="46" customHeight="1">
      <c r="A214" s="19">
        <v>210</v>
      </c>
      <c r="B214" s="19" t="s">
        <v>741</v>
      </c>
      <c r="C214" s="20" t="s">
        <v>742</v>
      </c>
      <c r="D214" s="20" t="s">
        <v>742</v>
      </c>
      <c r="E214" s="21"/>
      <c r="F214" s="20"/>
      <c r="G214" s="19" t="s">
        <v>862</v>
      </c>
      <c r="H214" s="21" t="s">
        <v>863</v>
      </c>
      <c r="I214" s="21" t="s">
        <v>24</v>
      </c>
      <c r="J214" s="20" t="s">
        <v>55</v>
      </c>
      <c r="K214" s="20" t="s">
        <v>864</v>
      </c>
    </row>
    <row r="215" spans="1:11" ht="46" customHeight="1">
      <c r="A215" s="19">
        <v>211</v>
      </c>
      <c r="B215" s="19" t="s">
        <v>741</v>
      </c>
      <c r="C215" s="20" t="s">
        <v>742</v>
      </c>
      <c r="D215" s="20" t="s">
        <v>742</v>
      </c>
      <c r="E215" s="21"/>
      <c r="F215" s="20"/>
      <c r="G215" s="19" t="s">
        <v>865</v>
      </c>
      <c r="H215" s="21" t="s">
        <v>866</v>
      </c>
      <c r="I215" s="21" t="s">
        <v>16</v>
      </c>
      <c r="J215" s="20" t="s">
        <v>867</v>
      </c>
      <c r="K215" s="20" t="s">
        <v>868</v>
      </c>
    </row>
    <row r="216" spans="1:11" ht="46" customHeight="1">
      <c r="A216" s="19">
        <v>212</v>
      </c>
      <c r="B216" s="19" t="s">
        <v>741</v>
      </c>
      <c r="C216" s="20" t="s">
        <v>742</v>
      </c>
      <c r="D216" s="20" t="s">
        <v>742</v>
      </c>
      <c r="E216" s="21"/>
      <c r="F216" s="20"/>
      <c r="G216" s="19" t="s">
        <v>869</v>
      </c>
      <c r="H216" s="21" t="s">
        <v>870</v>
      </c>
      <c r="I216" s="21" t="s">
        <v>16</v>
      </c>
      <c r="J216" s="20" t="s">
        <v>158</v>
      </c>
      <c r="K216" s="20" t="s">
        <v>871</v>
      </c>
    </row>
    <row r="217" spans="1:11" ht="46" customHeight="1">
      <c r="A217" s="19">
        <v>213</v>
      </c>
      <c r="B217" s="19" t="s">
        <v>741</v>
      </c>
      <c r="C217" s="20" t="s">
        <v>742</v>
      </c>
      <c r="D217" s="20" t="s">
        <v>742</v>
      </c>
      <c r="E217" s="21"/>
      <c r="F217" s="20"/>
      <c r="G217" s="19" t="s">
        <v>872</v>
      </c>
      <c r="H217" s="21" t="s">
        <v>873</v>
      </c>
      <c r="I217" s="21" t="s">
        <v>16</v>
      </c>
      <c r="J217" s="20" t="s">
        <v>874</v>
      </c>
      <c r="K217" s="20" t="s">
        <v>875</v>
      </c>
    </row>
    <row r="218" spans="1:11" ht="46" customHeight="1">
      <c r="A218" s="19">
        <v>214</v>
      </c>
      <c r="B218" s="19" t="s">
        <v>741</v>
      </c>
      <c r="C218" s="20" t="s">
        <v>742</v>
      </c>
      <c r="D218" s="20" t="s">
        <v>742</v>
      </c>
      <c r="E218" s="21"/>
      <c r="F218" s="20"/>
      <c r="G218" s="19" t="s">
        <v>876</v>
      </c>
      <c r="H218" s="21" t="s">
        <v>877</v>
      </c>
      <c r="I218" s="21" t="s">
        <v>16</v>
      </c>
      <c r="J218" s="20" t="s">
        <v>878</v>
      </c>
      <c r="K218" s="20" t="s">
        <v>879</v>
      </c>
    </row>
    <row r="219" spans="1:11" ht="46" customHeight="1">
      <c r="A219" s="19">
        <v>215</v>
      </c>
      <c r="B219" s="19" t="s">
        <v>741</v>
      </c>
      <c r="C219" s="20" t="s">
        <v>742</v>
      </c>
      <c r="D219" s="20" t="s">
        <v>742</v>
      </c>
      <c r="E219" s="21"/>
      <c r="F219" s="20"/>
      <c r="G219" s="19" t="s">
        <v>880</v>
      </c>
      <c r="H219" s="21" t="s">
        <v>881</v>
      </c>
      <c r="I219" s="21" t="s">
        <v>16</v>
      </c>
      <c r="J219" s="20" t="s">
        <v>882</v>
      </c>
      <c r="K219" s="20" t="s">
        <v>883</v>
      </c>
    </row>
    <row r="220" spans="1:11" ht="46" customHeight="1">
      <c r="A220" s="19">
        <v>216</v>
      </c>
      <c r="B220" s="19" t="s">
        <v>741</v>
      </c>
      <c r="C220" s="20" t="s">
        <v>742</v>
      </c>
      <c r="D220" s="20" t="s">
        <v>742</v>
      </c>
      <c r="E220" s="21"/>
      <c r="F220" s="20"/>
      <c r="G220" s="19" t="s">
        <v>884</v>
      </c>
      <c r="H220" s="21" t="s">
        <v>885</v>
      </c>
      <c r="I220" s="21" t="s">
        <v>16</v>
      </c>
      <c r="J220" s="20" t="s">
        <v>886</v>
      </c>
      <c r="K220" s="20" t="s">
        <v>887</v>
      </c>
    </row>
    <row r="221" spans="1:11" ht="46" customHeight="1">
      <c r="A221" s="19">
        <v>217</v>
      </c>
      <c r="B221" s="19" t="s">
        <v>741</v>
      </c>
      <c r="C221" s="20" t="s">
        <v>742</v>
      </c>
      <c r="D221" s="20" t="s">
        <v>742</v>
      </c>
      <c r="E221" s="21"/>
      <c r="F221" s="20"/>
      <c r="G221" s="19" t="s">
        <v>888</v>
      </c>
      <c r="H221" s="21" t="s">
        <v>889</v>
      </c>
      <c r="I221" s="21" t="s">
        <v>16</v>
      </c>
      <c r="J221" s="20" t="s">
        <v>890</v>
      </c>
      <c r="K221" s="20" t="s">
        <v>891</v>
      </c>
    </row>
    <row r="222" spans="1:11" ht="46" customHeight="1">
      <c r="A222" s="19">
        <v>218</v>
      </c>
      <c r="B222" s="19" t="s">
        <v>741</v>
      </c>
      <c r="C222" s="20" t="s">
        <v>742</v>
      </c>
      <c r="D222" s="20" t="s">
        <v>742</v>
      </c>
      <c r="E222" s="21"/>
      <c r="F222" s="20"/>
      <c r="G222" s="19" t="s">
        <v>892</v>
      </c>
      <c r="H222" s="21" t="s">
        <v>893</v>
      </c>
      <c r="I222" s="21" t="s">
        <v>16</v>
      </c>
      <c r="J222" s="20" t="s">
        <v>894</v>
      </c>
      <c r="K222" s="20" t="s">
        <v>895</v>
      </c>
    </row>
    <row r="223" spans="1:11" ht="46" customHeight="1">
      <c r="A223" s="19">
        <v>219</v>
      </c>
      <c r="B223" s="19" t="s">
        <v>741</v>
      </c>
      <c r="C223" s="20" t="s">
        <v>742</v>
      </c>
      <c r="D223" s="20" t="s">
        <v>742</v>
      </c>
      <c r="E223" s="21"/>
      <c r="F223" s="20"/>
      <c r="G223" s="19" t="s">
        <v>896</v>
      </c>
      <c r="H223" s="21" t="s">
        <v>897</v>
      </c>
      <c r="I223" s="21" t="s">
        <v>16</v>
      </c>
      <c r="J223" s="20" t="s">
        <v>898</v>
      </c>
      <c r="K223" s="20" t="s">
        <v>899</v>
      </c>
    </row>
    <row r="224" spans="1:11" ht="46" customHeight="1">
      <c r="A224" s="19">
        <v>220</v>
      </c>
      <c r="B224" s="19" t="s">
        <v>741</v>
      </c>
      <c r="C224" s="20" t="s">
        <v>742</v>
      </c>
      <c r="D224" s="20" t="s">
        <v>742</v>
      </c>
      <c r="E224" s="21"/>
      <c r="F224" s="20"/>
      <c r="G224" s="19" t="s">
        <v>900</v>
      </c>
      <c r="H224" s="21" t="s">
        <v>901</v>
      </c>
      <c r="I224" s="21" t="s">
        <v>24</v>
      </c>
      <c r="J224" s="20" t="s">
        <v>902</v>
      </c>
      <c r="K224" s="20" t="s">
        <v>903</v>
      </c>
    </row>
    <row r="225" spans="1:11" ht="46" customHeight="1">
      <c r="A225" s="19">
        <v>221</v>
      </c>
      <c r="B225" s="19" t="s">
        <v>741</v>
      </c>
      <c r="C225" s="20" t="s">
        <v>742</v>
      </c>
      <c r="D225" s="20" t="s">
        <v>742</v>
      </c>
      <c r="E225" s="21"/>
      <c r="F225" s="20"/>
      <c r="G225" s="19" t="s">
        <v>904</v>
      </c>
      <c r="H225" s="21" t="s">
        <v>905</v>
      </c>
      <c r="I225" s="21" t="s">
        <v>24</v>
      </c>
      <c r="J225" s="20" t="s">
        <v>906</v>
      </c>
      <c r="K225" s="20" t="s">
        <v>907</v>
      </c>
    </row>
    <row r="226" spans="1:11" ht="46" customHeight="1">
      <c r="A226" s="19">
        <v>222</v>
      </c>
      <c r="B226" s="19" t="s">
        <v>741</v>
      </c>
      <c r="C226" s="20" t="s">
        <v>742</v>
      </c>
      <c r="D226" s="20" t="s">
        <v>742</v>
      </c>
      <c r="E226" s="21"/>
      <c r="F226" s="20"/>
      <c r="G226" s="19" t="s">
        <v>908</v>
      </c>
      <c r="H226" s="21" t="s">
        <v>909</v>
      </c>
      <c r="I226" s="21" t="s">
        <v>16</v>
      </c>
      <c r="J226" s="20" t="s">
        <v>910</v>
      </c>
      <c r="K226" s="20" t="s">
        <v>911</v>
      </c>
    </row>
    <row r="227" spans="1:11" ht="46" customHeight="1">
      <c r="A227" s="19">
        <v>223</v>
      </c>
      <c r="B227" s="19" t="s">
        <v>741</v>
      </c>
      <c r="C227" s="20" t="s">
        <v>742</v>
      </c>
      <c r="D227" s="20" t="s">
        <v>742</v>
      </c>
      <c r="E227" s="21"/>
      <c r="F227" s="20"/>
      <c r="G227" s="19" t="s">
        <v>912</v>
      </c>
      <c r="H227" s="21" t="s">
        <v>913</v>
      </c>
      <c r="I227" s="21" t="s">
        <v>16</v>
      </c>
      <c r="J227" s="20" t="s">
        <v>914</v>
      </c>
      <c r="K227" s="20" t="s">
        <v>915</v>
      </c>
    </row>
    <row r="228" spans="1:11" ht="46" customHeight="1">
      <c r="A228" s="19">
        <v>224</v>
      </c>
      <c r="B228" s="19" t="s">
        <v>741</v>
      </c>
      <c r="C228" s="20" t="s">
        <v>742</v>
      </c>
      <c r="D228" s="20" t="s">
        <v>742</v>
      </c>
      <c r="E228" s="21"/>
      <c r="F228" s="20"/>
      <c r="G228" s="19" t="s">
        <v>916</v>
      </c>
      <c r="H228" s="21" t="s">
        <v>917</v>
      </c>
      <c r="I228" s="21" t="s">
        <v>16</v>
      </c>
      <c r="J228" s="20" t="s">
        <v>918</v>
      </c>
      <c r="K228" s="20" t="s">
        <v>919</v>
      </c>
    </row>
    <row r="229" spans="1:11" ht="46" customHeight="1">
      <c r="A229" s="19">
        <v>225</v>
      </c>
      <c r="B229" s="19" t="s">
        <v>741</v>
      </c>
      <c r="C229" s="20" t="s">
        <v>742</v>
      </c>
      <c r="D229" s="20" t="s">
        <v>742</v>
      </c>
      <c r="E229" s="21"/>
      <c r="F229" s="20"/>
      <c r="G229" s="19" t="s">
        <v>920</v>
      </c>
      <c r="H229" s="21" t="s">
        <v>921</v>
      </c>
      <c r="I229" s="21" t="s">
        <v>20</v>
      </c>
      <c r="J229" s="20" t="s">
        <v>922</v>
      </c>
      <c r="K229" s="20" t="s">
        <v>923</v>
      </c>
    </row>
    <row r="230" spans="1:11" ht="46" customHeight="1">
      <c r="A230" s="19">
        <v>226</v>
      </c>
      <c r="B230" s="19" t="s">
        <v>741</v>
      </c>
      <c r="C230" s="20" t="s">
        <v>742</v>
      </c>
      <c r="D230" s="20" t="s">
        <v>742</v>
      </c>
      <c r="E230" s="21"/>
      <c r="F230" s="20"/>
      <c r="G230" s="19" t="s">
        <v>924</v>
      </c>
      <c r="H230" s="21" t="s">
        <v>925</v>
      </c>
      <c r="I230" s="21" t="s">
        <v>24</v>
      </c>
      <c r="J230" s="20" t="s">
        <v>404</v>
      </c>
      <c r="K230" s="20" t="s">
        <v>926</v>
      </c>
    </row>
    <row r="231" spans="1:11" ht="46" customHeight="1">
      <c r="A231" s="19">
        <v>227</v>
      </c>
      <c r="B231" s="19" t="s">
        <v>741</v>
      </c>
      <c r="C231" s="20" t="s">
        <v>742</v>
      </c>
      <c r="D231" s="20" t="s">
        <v>742</v>
      </c>
      <c r="E231" s="21"/>
      <c r="F231" s="20"/>
      <c r="G231" s="19" t="s">
        <v>927</v>
      </c>
      <c r="H231" s="21" t="s">
        <v>928</v>
      </c>
      <c r="I231" s="21" t="s">
        <v>16</v>
      </c>
      <c r="J231" s="20" t="s">
        <v>929</v>
      </c>
      <c r="K231" s="20" t="s">
        <v>930</v>
      </c>
    </row>
    <row r="232" spans="1:11" ht="46" customHeight="1">
      <c r="A232" s="19">
        <v>228</v>
      </c>
      <c r="B232" s="19" t="s">
        <v>741</v>
      </c>
      <c r="C232" s="20" t="s">
        <v>742</v>
      </c>
      <c r="D232" s="20" t="s">
        <v>742</v>
      </c>
      <c r="E232" s="21"/>
      <c r="F232" s="20"/>
      <c r="G232" s="19" t="s">
        <v>931</v>
      </c>
      <c r="H232" s="21" t="s">
        <v>932</v>
      </c>
      <c r="I232" s="21" t="s">
        <v>24</v>
      </c>
      <c r="J232" s="20" t="s">
        <v>933</v>
      </c>
      <c r="K232" s="20" t="s">
        <v>934</v>
      </c>
    </row>
    <row r="233" spans="1:11" ht="46" customHeight="1">
      <c r="A233" s="19">
        <v>229</v>
      </c>
      <c r="B233" s="19" t="s">
        <v>741</v>
      </c>
      <c r="C233" s="20" t="s">
        <v>742</v>
      </c>
      <c r="D233" s="20" t="s">
        <v>742</v>
      </c>
      <c r="E233" s="21"/>
      <c r="F233" s="20"/>
      <c r="G233" s="19" t="s">
        <v>935</v>
      </c>
      <c r="H233" s="21" t="s">
        <v>936</v>
      </c>
      <c r="I233" s="21" t="s">
        <v>16</v>
      </c>
      <c r="J233" s="20" t="s">
        <v>937</v>
      </c>
      <c r="K233" s="20" t="s">
        <v>938</v>
      </c>
    </row>
    <row r="234" spans="1:11" ht="46" customHeight="1">
      <c r="A234" s="19">
        <v>230</v>
      </c>
      <c r="B234" s="19" t="s">
        <v>741</v>
      </c>
      <c r="C234" s="20" t="s">
        <v>742</v>
      </c>
      <c r="D234" s="20" t="s">
        <v>742</v>
      </c>
      <c r="E234" s="21"/>
      <c r="F234" s="20"/>
      <c r="G234" s="19" t="s">
        <v>939</v>
      </c>
      <c r="H234" s="21" t="s">
        <v>940</v>
      </c>
      <c r="I234" s="21" t="s">
        <v>16</v>
      </c>
      <c r="J234" s="20" t="s">
        <v>941</v>
      </c>
      <c r="K234" s="20" t="s">
        <v>942</v>
      </c>
    </row>
    <row r="235" spans="1:11" ht="46" customHeight="1">
      <c r="A235" s="19">
        <v>231</v>
      </c>
      <c r="B235" s="19" t="s">
        <v>741</v>
      </c>
      <c r="C235" s="20" t="s">
        <v>742</v>
      </c>
      <c r="D235" s="20" t="s">
        <v>742</v>
      </c>
      <c r="E235" s="21"/>
      <c r="F235" s="20"/>
      <c r="G235" s="19" t="s">
        <v>943</v>
      </c>
      <c r="H235" s="21" t="s">
        <v>944</v>
      </c>
      <c r="I235" s="21" t="s">
        <v>16</v>
      </c>
      <c r="J235" s="20" t="s">
        <v>945</v>
      </c>
      <c r="K235" s="20" t="s">
        <v>946</v>
      </c>
    </row>
    <row r="236" spans="1:11" ht="46" customHeight="1">
      <c r="A236" s="19">
        <v>232</v>
      </c>
      <c r="B236" s="19" t="s">
        <v>741</v>
      </c>
      <c r="C236" s="20" t="s">
        <v>742</v>
      </c>
      <c r="D236" s="20" t="s">
        <v>742</v>
      </c>
      <c r="E236" s="21"/>
      <c r="F236" s="20"/>
      <c r="G236" s="19" t="s">
        <v>947</v>
      </c>
      <c r="H236" s="21" t="s">
        <v>948</v>
      </c>
      <c r="I236" s="21" t="s">
        <v>24</v>
      </c>
      <c r="J236" s="20" t="s">
        <v>949</v>
      </c>
      <c r="K236" s="20" t="s">
        <v>950</v>
      </c>
    </row>
    <row r="237" spans="1:11" ht="46" customHeight="1">
      <c r="A237" s="19">
        <v>233</v>
      </c>
      <c r="B237" s="19" t="s">
        <v>741</v>
      </c>
      <c r="C237" s="20" t="s">
        <v>742</v>
      </c>
      <c r="D237" s="20" t="s">
        <v>742</v>
      </c>
      <c r="E237" s="21"/>
      <c r="F237" s="20"/>
      <c r="G237" s="19" t="s">
        <v>951</v>
      </c>
      <c r="H237" s="21" t="s">
        <v>952</v>
      </c>
      <c r="I237" s="21" t="s">
        <v>20</v>
      </c>
      <c r="J237" s="20" t="s">
        <v>953</v>
      </c>
      <c r="K237" s="20" t="s">
        <v>954</v>
      </c>
    </row>
    <row r="238" spans="1:11" ht="46" customHeight="1">
      <c r="A238" s="19">
        <v>234</v>
      </c>
      <c r="B238" s="19" t="s">
        <v>741</v>
      </c>
      <c r="C238" s="20" t="s">
        <v>742</v>
      </c>
      <c r="D238" s="20" t="s">
        <v>742</v>
      </c>
      <c r="E238" s="21"/>
      <c r="F238" s="20"/>
      <c r="G238" s="19" t="s">
        <v>955</v>
      </c>
      <c r="H238" s="21" t="s">
        <v>956</v>
      </c>
      <c r="I238" s="21" t="s">
        <v>20</v>
      </c>
      <c r="J238" s="20" t="s">
        <v>957</v>
      </c>
      <c r="K238" s="20" t="s">
        <v>958</v>
      </c>
    </row>
    <row r="239" spans="1:11" ht="46" customHeight="1">
      <c r="A239" s="19">
        <v>235</v>
      </c>
      <c r="B239" s="19" t="s">
        <v>741</v>
      </c>
      <c r="C239" s="20" t="s">
        <v>742</v>
      </c>
      <c r="D239" s="20" t="s">
        <v>742</v>
      </c>
      <c r="E239" s="21"/>
      <c r="F239" s="20"/>
      <c r="G239" s="19" t="s">
        <v>959</v>
      </c>
      <c r="H239" s="21" t="s">
        <v>960</v>
      </c>
      <c r="I239" s="21" t="s">
        <v>20</v>
      </c>
      <c r="J239" s="20" t="s">
        <v>961</v>
      </c>
      <c r="K239" s="20" t="s">
        <v>962</v>
      </c>
    </row>
    <row r="240" spans="1:11" ht="46" customHeight="1">
      <c r="A240" s="19">
        <v>236</v>
      </c>
      <c r="B240" s="19" t="s">
        <v>741</v>
      </c>
      <c r="C240" s="20" t="s">
        <v>742</v>
      </c>
      <c r="D240" s="20" t="s">
        <v>742</v>
      </c>
      <c r="E240" s="21"/>
      <c r="F240" s="20"/>
      <c r="G240" s="19" t="s">
        <v>963</v>
      </c>
      <c r="H240" s="21" t="s">
        <v>964</v>
      </c>
      <c r="I240" s="21" t="s">
        <v>16</v>
      </c>
      <c r="J240" s="20" t="s">
        <v>965</v>
      </c>
      <c r="K240" s="20" t="s">
        <v>966</v>
      </c>
    </row>
    <row r="241" spans="1:11" ht="46" customHeight="1">
      <c r="A241" s="19">
        <v>237</v>
      </c>
      <c r="B241" s="19" t="s">
        <v>741</v>
      </c>
      <c r="C241" s="20" t="s">
        <v>742</v>
      </c>
      <c r="D241" s="20" t="s">
        <v>742</v>
      </c>
      <c r="E241" s="21"/>
      <c r="F241" s="20"/>
      <c r="G241" s="19" t="s">
        <v>967</v>
      </c>
      <c r="H241" s="21" t="s">
        <v>968</v>
      </c>
      <c r="I241" s="21" t="s">
        <v>24</v>
      </c>
      <c r="J241" s="20" t="s">
        <v>969</v>
      </c>
      <c r="K241" s="20" t="s">
        <v>970</v>
      </c>
    </row>
    <row r="242" spans="1:11" ht="46" customHeight="1">
      <c r="A242" s="19">
        <v>238</v>
      </c>
      <c r="B242" s="19" t="s">
        <v>741</v>
      </c>
      <c r="C242" s="20" t="s">
        <v>742</v>
      </c>
      <c r="D242" s="20" t="s">
        <v>742</v>
      </c>
      <c r="E242" s="21"/>
      <c r="F242" s="20"/>
      <c r="G242" s="19" t="s">
        <v>971</v>
      </c>
      <c r="H242" s="21" t="s">
        <v>972</v>
      </c>
      <c r="I242" s="21" t="s">
        <v>20</v>
      </c>
      <c r="J242" s="20" t="s">
        <v>973</v>
      </c>
      <c r="K242" s="20" t="s">
        <v>974</v>
      </c>
    </row>
    <row r="243" spans="1:11" ht="46" customHeight="1">
      <c r="A243" s="19">
        <v>239</v>
      </c>
      <c r="B243" s="19" t="s">
        <v>741</v>
      </c>
      <c r="C243" s="20" t="s">
        <v>742</v>
      </c>
      <c r="D243" s="20" t="s">
        <v>742</v>
      </c>
      <c r="E243" s="21"/>
      <c r="F243" s="20"/>
      <c r="G243" s="19" t="s">
        <v>975</v>
      </c>
      <c r="H243" s="21" t="s">
        <v>976</v>
      </c>
      <c r="I243" s="21" t="s">
        <v>24</v>
      </c>
      <c r="J243" s="20" t="s">
        <v>977</v>
      </c>
      <c r="K243" s="20" t="s">
        <v>978</v>
      </c>
    </row>
    <row r="244" spans="1:11" ht="46" customHeight="1">
      <c r="A244" s="19">
        <v>240</v>
      </c>
      <c r="B244" s="19" t="s">
        <v>741</v>
      </c>
      <c r="C244" s="20" t="s">
        <v>742</v>
      </c>
      <c r="D244" s="20" t="s">
        <v>742</v>
      </c>
      <c r="E244" s="21"/>
      <c r="F244" s="20"/>
      <c r="G244" s="19" t="s">
        <v>979</v>
      </c>
      <c r="H244" s="21" t="s">
        <v>980</v>
      </c>
      <c r="I244" s="21" t="s">
        <v>24</v>
      </c>
      <c r="J244" s="20" t="s">
        <v>981</v>
      </c>
      <c r="K244" s="20" t="s">
        <v>982</v>
      </c>
    </row>
    <row r="245" spans="1:11" ht="46" customHeight="1">
      <c r="A245" s="19">
        <v>241</v>
      </c>
      <c r="B245" s="19" t="s">
        <v>741</v>
      </c>
      <c r="C245" s="20" t="s">
        <v>742</v>
      </c>
      <c r="D245" s="20" t="s">
        <v>742</v>
      </c>
      <c r="E245" s="21"/>
      <c r="F245" s="20"/>
      <c r="G245" s="19" t="s">
        <v>983</v>
      </c>
      <c r="H245" s="21" t="s">
        <v>984</v>
      </c>
      <c r="I245" s="21" t="s">
        <v>24</v>
      </c>
      <c r="J245" s="20" t="s">
        <v>985</v>
      </c>
      <c r="K245" s="20" t="s">
        <v>986</v>
      </c>
    </row>
    <row r="246" spans="1:11" ht="46" customHeight="1">
      <c r="A246" s="19">
        <v>242</v>
      </c>
      <c r="B246" s="19" t="s">
        <v>741</v>
      </c>
      <c r="C246" s="20" t="s">
        <v>742</v>
      </c>
      <c r="D246" s="20" t="s">
        <v>742</v>
      </c>
      <c r="E246" s="21"/>
      <c r="F246" s="20"/>
      <c r="G246" s="19" t="s">
        <v>987</v>
      </c>
      <c r="H246" s="21" t="s">
        <v>988</v>
      </c>
      <c r="I246" s="21" t="s">
        <v>24</v>
      </c>
      <c r="J246" s="20" t="s">
        <v>989</v>
      </c>
      <c r="K246" s="20" t="s">
        <v>990</v>
      </c>
    </row>
    <row r="247" spans="1:11" ht="46" customHeight="1">
      <c r="A247" s="19">
        <v>243</v>
      </c>
      <c r="B247" s="19" t="s">
        <v>741</v>
      </c>
      <c r="C247" s="20" t="s">
        <v>742</v>
      </c>
      <c r="D247" s="20" t="s">
        <v>742</v>
      </c>
      <c r="E247" s="21"/>
      <c r="F247" s="20"/>
      <c r="G247" s="19" t="s">
        <v>991</v>
      </c>
      <c r="H247" s="21" t="s">
        <v>992</v>
      </c>
      <c r="I247" s="21" t="s">
        <v>24</v>
      </c>
      <c r="J247" s="20" t="s">
        <v>993</v>
      </c>
      <c r="K247" s="20" t="s">
        <v>994</v>
      </c>
    </row>
    <row r="248" spans="1:11" ht="46" customHeight="1">
      <c r="A248" s="19">
        <v>244</v>
      </c>
      <c r="B248" s="19" t="s">
        <v>741</v>
      </c>
      <c r="C248" s="20" t="s">
        <v>742</v>
      </c>
      <c r="D248" s="20" t="s">
        <v>742</v>
      </c>
      <c r="E248" s="21"/>
      <c r="F248" s="20"/>
      <c r="G248" s="19" t="s">
        <v>995</v>
      </c>
      <c r="H248" s="21" t="s">
        <v>996</v>
      </c>
      <c r="I248" s="21" t="s">
        <v>24</v>
      </c>
      <c r="J248" s="20" t="s">
        <v>997</v>
      </c>
      <c r="K248" s="20" t="s">
        <v>998</v>
      </c>
    </row>
    <row r="249" spans="1:11" ht="46" customHeight="1">
      <c r="A249" s="19">
        <v>245</v>
      </c>
      <c r="B249" s="19" t="s">
        <v>741</v>
      </c>
      <c r="C249" s="20" t="s">
        <v>742</v>
      </c>
      <c r="D249" s="20" t="s">
        <v>742</v>
      </c>
      <c r="E249" s="21"/>
      <c r="F249" s="20"/>
      <c r="G249" s="19" t="s">
        <v>999</v>
      </c>
      <c r="H249" s="21" t="s">
        <v>1000</v>
      </c>
      <c r="I249" s="21" t="s">
        <v>24</v>
      </c>
      <c r="J249" s="20" t="s">
        <v>1001</v>
      </c>
      <c r="K249" s="20" t="s">
        <v>1002</v>
      </c>
    </row>
    <row r="250" spans="1:11" ht="46" customHeight="1">
      <c r="A250" s="19">
        <v>246</v>
      </c>
      <c r="B250" s="19" t="s">
        <v>741</v>
      </c>
      <c r="C250" s="20" t="s">
        <v>742</v>
      </c>
      <c r="D250" s="20" t="s">
        <v>742</v>
      </c>
      <c r="E250" s="21"/>
      <c r="F250" s="20"/>
      <c r="G250" s="19" t="s">
        <v>1003</v>
      </c>
      <c r="H250" s="21" t="s">
        <v>1004</v>
      </c>
      <c r="I250" s="21" t="s">
        <v>24</v>
      </c>
      <c r="J250" s="20" t="s">
        <v>1005</v>
      </c>
      <c r="K250" s="20" t="s">
        <v>1006</v>
      </c>
    </row>
    <row r="251" spans="1:11" ht="46" customHeight="1">
      <c r="A251" s="19">
        <v>247</v>
      </c>
      <c r="B251" s="19" t="s">
        <v>741</v>
      </c>
      <c r="C251" s="20" t="s">
        <v>742</v>
      </c>
      <c r="D251" s="20" t="s">
        <v>742</v>
      </c>
      <c r="E251" s="21"/>
      <c r="F251" s="20"/>
      <c r="G251" s="19" t="s">
        <v>1007</v>
      </c>
      <c r="H251" s="21" t="s">
        <v>1008</v>
      </c>
      <c r="I251" s="21" t="s">
        <v>24</v>
      </c>
      <c r="J251" s="20" t="s">
        <v>1009</v>
      </c>
      <c r="K251" s="20" t="s">
        <v>1010</v>
      </c>
    </row>
    <row r="252" spans="1:11" ht="46" customHeight="1">
      <c r="A252" s="19">
        <v>248</v>
      </c>
      <c r="B252" s="19" t="s">
        <v>741</v>
      </c>
      <c r="C252" s="20" t="s">
        <v>742</v>
      </c>
      <c r="D252" s="20" t="s">
        <v>742</v>
      </c>
      <c r="E252" s="21"/>
      <c r="F252" s="20"/>
      <c r="G252" s="19" t="s">
        <v>1011</v>
      </c>
      <c r="H252" s="21" t="s">
        <v>1012</v>
      </c>
      <c r="I252" s="21" t="s">
        <v>24</v>
      </c>
      <c r="J252" s="20" t="s">
        <v>1013</v>
      </c>
      <c r="K252" s="20" t="s">
        <v>1014</v>
      </c>
    </row>
    <row r="253" spans="1:11" ht="46" customHeight="1">
      <c r="A253" s="19">
        <v>249</v>
      </c>
      <c r="B253" s="19" t="s">
        <v>741</v>
      </c>
      <c r="C253" s="20" t="s">
        <v>742</v>
      </c>
      <c r="D253" s="20" t="s">
        <v>742</v>
      </c>
      <c r="E253" s="21"/>
      <c r="F253" s="20"/>
      <c r="G253" s="19" t="s">
        <v>1015</v>
      </c>
      <c r="H253" s="21" t="s">
        <v>1016</v>
      </c>
      <c r="I253" s="21" t="s">
        <v>24</v>
      </c>
      <c r="J253" s="20" t="s">
        <v>1017</v>
      </c>
      <c r="K253" s="20" t="s">
        <v>1018</v>
      </c>
    </row>
    <row r="254" spans="1:11" ht="46" customHeight="1">
      <c r="A254" s="19">
        <v>250</v>
      </c>
      <c r="B254" s="19" t="s">
        <v>741</v>
      </c>
      <c r="C254" s="20" t="s">
        <v>742</v>
      </c>
      <c r="D254" s="20" t="s">
        <v>742</v>
      </c>
      <c r="E254" s="21"/>
      <c r="F254" s="20"/>
      <c r="G254" s="19" t="s">
        <v>1019</v>
      </c>
      <c r="H254" s="21" t="s">
        <v>1020</v>
      </c>
      <c r="I254" s="21" t="s">
        <v>24</v>
      </c>
      <c r="J254" s="20" t="s">
        <v>1021</v>
      </c>
      <c r="K254" s="20" t="s">
        <v>1022</v>
      </c>
    </row>
    <row r="255" spans="1:11" ht="46" customHeight="1">
      <c r="A255" s="19">
        <v>251</v>
      </c>
      <c r="B255" s="19" t="s">
        <v>741</v>
      </c>
      <c r="C255" s="20" t="s">
        <v>742</v>
      </c>
      <c r="D255" s="20" t="s">
        <v>742</v>
      </c>
      <c r="E255" s="21"/>
      <c r="F255" s="20"/>
      <c r="G255" s="19" t="s">
        <v>1023</v>
      </c>
      <c r="H255" s="21" t="s">
        <v>1024</v>
      </c>
      <c r="I255" s="21" t="s">
        <v>24</v>
      </c>
      <c r="J255" s="20" t="s">
        <v>1025</v>
      </c>
      <c r="K255" s="20" t="s">
        <v>1026</v>
      </c>
    </row>
    <row r="256" spans="1:11" ht="46" customHeight="1">
      <c r="A256" s="19">
        <v>252</v>
      </c>
      <c r="B256" s="19" t="s">
        <v>741</v>
      </c>
      <c r="C256" s="20" t="s">
        <v>742</v>
      </c>
      <c r="D256" s="20" t="s">
        <v>742</v>
      </c>
      <c r="E256" s="21"/>
      <c r="F256" s="20"/>
      <c r="G256" s="19" t="s">
        <v>1027</v>
      </c>
      <c r="H256" s="21" t="s">
        <v>1028</v>
      </c>
      <c r="I256" s="21" t="s">
        <v>24</v>
      </c>
      <c r="J256" s="20" t="s">
        <v>1029</v>
      </c>
      <c r="K256" s="20" t="s">
        <v>1030</v>
      </c>
    </row>
    <row r="257" spans="1:11" ht="46" customHeight="1">
      <c r="A257" s="19">
        <v>253</v>
      </c>
      <c r="B257" s="19" t="s">
        <v>741</v>
      </c>
      <c r="C257" s="20" t="s">
        <v>742</v>
      </c>
      <c r="D257" s="20" t="s">
        <v>742</v>
      </c>
      <c r="E257" s="21"/>
      <c r="F257" s="20"/>
      <c r="G257" s="19" t="s">
        <v>1031</v>
      </c>
      <c r="H257" s="21" t="s">
        <v>1032</v>
      </c>
      <c r="I257" s="21" t="s">
        <v>24</v>
      </c>
      <c r="J257" s="20" t="s">
        <v>1033</v>
      </c>
      <c r="K257" s="20" t="s">
        <v>1034</v>
      </c>
    </row>
    <row r="258" spans="1:11" ht="46" customHeight="1">
      <c r="A258" s="19">
        <v>254</v>
      </c>
      <c r="B258" s="19" t="s">
        <v>741</v>
      </c>
      <c r="C258" s="20" t="s">
        <v>742</v>
      </c>
      <c r="D258" s="20" t="s">
        <v>742</v>
      </c>
      <c r="E258" s="21"/>
      <c r="F258" s="20"/>
      <c r="G258" s="19" t="s">
        <v>1035</v>
      </c>
      <c r="H258" s="21" t="s">
        <v>1036</v>
      </c>
      <c r="I258" s="21" t="s">
        <v>24</v>
      </c>
      <c r="J258" s="20" t="s">
        <v>1037</v>
      </c>
      <c r="K258" s="20" t="s">
        <v>1038</v>
      </c>
    </row>
    <row r="259" spans="1:11" ht="46" customHeight="1">
      <c r="A259" s="19">
        <v>255</v>
      </c>
      <c r="B259" s="19" t="s">
        <v>741</v>
      </c>
      <c r="C259" s="20" t="s">
        <v>742</v>
      </c>
      <c r="D259" s="20" t="s">
        <v>742</v>
      </c>
      <c r="E259" s="21"/>
      <c r="F259" s="20"/>
      <c r="G259" s="19" t="s">
        <v>1039</v>
      </c>
      <c r="H259" s="21" t="s">
        <v>1040</v>
      </c>
      <c r="I259" s="21" t="s">
        <v>24</v>
      </c>
      <c r="J259" s="20" t="s">
        <v>1041</v>
      </c>
      <c r="K259" s="20" t="s">
        <v>1042</v>
      </c>
    </row>
    <row r="260" spans="1:11" ht="46" customHeight="1">
      <c r="A260" s="19">
        <v>256</v>
      </c>
      <c r="B260" s="19" t="s">
        <v>741</v>
      </c>
      <c r="C260" s="20" t="s">
        <v>742</v>
      </c>
      <c r="D260" s="20" t="s">
        <v>742</v>
      </c>
      <c r="E260" s="21"/>
      <c r="F260" s="20"/>
      <c r="G260" s="19" t="s">
        <v>1043</v>
      </c>
      <c r="H260" s="21" t="s">
        <v>1044</v>
      </c>
      <c r="I260" s="21" t="s">
        <v>24</v>
      </c>
      <c r="J260" s="20" t="s">
        <v>1045</v>
      </c>
      <c r="K260" s="20" t="s">
        <v>1046</v>
      </c>
    </row>
    <row r="261" spans="1:11" ht="46" customHeight="1">
      <c r="A261" s="19">
        <v>257</v>
      </c>
      <c r="B261" s="19" t="s">
        <v>741</v>
      </c>
      <c r="C261" s="20" t="s">
        <v>742</v>
      </c>
      <c r="D261" s="20" t="s">
        <v>742</v>
      </c>
      <c r="E261" s="21"/>
      <c r="F261" s="20"/>
      <c r="G261" s="19" t="s">
        <v>1047</v>
      </c>
      <c r="H261" s="21" t="s">
        <v>1048</v>
      </c>
      <c r="I261" s="21" t="s">
        <v>20</v>
      </c>
      <c r="J261" s="20" t="s">
        <v>1049</v>
      </c>
      <c r="K261" s="20" t="s">
        <v>1050</v>
      </c>
    </row>
    <row r="262" spans="1:11" ht="46" customHeight="1">
      <c r="A262" s="19">
        <v>258</v>
      </c>
      <c r="B262" s="19" t="s">
        <v>741</v>
      </c>
      <c r="C262" s="20" t="s">
        <v>742</v>
      </c>
      <c r="D262" s="20" t="s">
        <v>742</v>
      </c>
      <c r="E262" s="21"/>
      <c r="F262" s="20"/>
      <c r="G262" s="19" t="s">
        <v>1051</v>
      </c>
      <c r="H262" s="21" t="s">
        <v>1052</v>
      </c>
      <c r="I262" s="21" t="s">
        <v>24</v>
      </c>
      <c r="J262" s="20" t="s">
        <v>1053</v>
      </c>
      <c r="K262" s="20" t="s">
        <v>1054</v>
      </c>
    </row>
    <row r="263" spans="1:11" ht="46" customHeight="1">
      <c r="A263" s="19">
        <v>259</v>
      </c>
      <c r="B263" s="19" t="s">
        <v>741</v>
      </c>
      <c r="C263" s="20" t="s">
        <v>742</v>
      </c>
      <c r="D263" s="20" t="s">
        <v>742</v>
      </c>
      <c r="E263" s="21"/>
      <c r="F263" s="20"/>
      <c r="G263" s="19" t="s">
        <v>1055</v>
      </c>
      <c r="H263" s="21" t="s">
        <v>1056</v>
      </c>
      <c r="I263" s="21" t="s">
        <v>24</v>
      </c>
      <c r="J263" s="20" t="s">
        <v>1057</v>
      </c>
      <c r="K263" s="20" t="s">
        <v>1058</v>
      </c>
    </row>
    <row r="264" spans="1:11" ht="46" customHeight="1">
      <c r="A264" s="19">
        <v>260</v>
      </c>
      <c r="B264" s="19" t="s">
        <v>741</v>
      </c>
      <c r="C264" s="20" t="s">
        <v>742</v>
      </c>
      <c r="D264" s="20" t="s">
        <v>742</v>
      </c>
      <c r="E264" s="21"/>
      <c r="F264" s="20"/>
      <c r="G264" s="19" t="s">
        <v>1059</v>
      </c>
      <c r="H264" s="21" t="s">
        <v>1060</v>
      </c>
      <c r="I264" s="21" t="s">
        <v>24</v>
      </c>
      <c r="J264" s="20" t="s">
        <v>1061</v>
      </c>
      <c r="K264" s="20" t="s">
        <v>1062</v>
      </c>
    </row>
    <row r="265" spans="1:11" ht="46" customHeight="1">
      <c r="A265" s="19">
        <v>261</v>
      </c>
      <c r="B265" s="19" t="s">
        <v>741</v>
      </c>
      <c r="C265" s="20" t="s">
        <v>742</v>
      </c>
      <c r="D265" s="20" t="s">
        <v>742</v>
      </c>
      <c r="E265" s="21"/>
      <c r="F265" s="20"/>
      <c r="G265" s="19" t="s">
        <v>1063</v>
      </c>
      <c r="H265" s="21" t="s">
        <v>1064</v>
      </c>
      <c r="I265" s="21" t="s">
        <v>24</v>
      </c>
      <c r="J265" s="20" t="s">
        <v>1065</v>
      </c>
      <c r="K265" s="20" t="s">
        <v>1066</v>
      </c>
    </row>
    <row r="266" spans="1:11" ht="46" customHeight="1">
      <c r="A266" s="19">
        <v>262</v>
      </c>
      <c r="B266" s="19" t="s">
        <v>741</v>
      </c>
      <c r="C266" s="20" t="s">
        <v>742</v>
      </c>
      <c r="D266" s="20" t="s">
        <v>742</v>
      </c>
      <c r="E266" s="21"/>
      <c r="F266" s="20"/>
      <c r="G266" s="19" t="s">
        <v>1067</v>
      </c>
      <c r="H266" s="21" t="s">
        <v>1068</v>
      </c>
      <c r="I266" s="21" t="s">
        <v>20</v>
      </c>
      <c r="J266" s="20" t="s">
        <v>1069</v>
      </c>
      <c r="K266" s="20" t="s">
        <v>1070</v>
      </c>
    </row>
    <row r="267" spans="1:11" ht="46" customHeight="1">
      <c r="A267" s="19">
        <v>263</v>
      </c>
      <c r="B267" s="19" t="s">
        <v>741</v>
      </c>
      <c r="C267" s="20" t="s">
        <v>742</v>
      </c>
      <c r="D267" s="20" t="s">
        <v>742</v>
      </c>
      <c r="E267" s="21"/>
      <c r="F267" s="20"/>
      <c r="G267" s="19" t="s">
        <v>1071</v>
      </c>
      <c r="H267" s="21" t="s">
        <v>1072</v>
      </c>
      <c r="I267" s="21" t="s">
        <v>24</v>
      </c>
      <c r="J267" s="20" t="s">
        <v>1073</v>
      </c>
      <c r="K267" s="20" t="s">
        <v>1074</v>
      </c>
    </row>
    <row r="268" spans="1:11" ht="46" customHeight="1">
      <c r="A268" s="19">
        <v>264</v>
      </c>
      <c r="B268" s="19" t="s">
        <v>741</v>
      </c>
      <c r="C268" s="20" t="s">
        <v>742</v>
      </c>
      <c r="D268" s="20" t="s">
        <v>742</v>
      </c>
      <c r="E268" s="21"/>
      <c r="F268" s="20"/>
      <c r="G268" s="19" t="s">
        <v>1075</v>
      </c>
      <c r="H268" s="21" t="s">
        <v>1076</v>
      </c>
      <c r="I268" s="21" t="s">
        <v>20</v>
      </c>
      <c r="J268" s="20" t="s">
        <v>1077</v>
      </c>
      <c r="K268" s="20" t="s">
        <v>1078</v>
      </c>
    </row>
    <row r="269" spans="1:11" ht="46" customHeight="1">
      <c r="A269" s="19">
        <v>265</v>
      </c>
      <c r="B269" s="19" t="s">
        <v>741</v>
      </c>
      <c r="C269" s="20" t="s">
        <v>742</v>
      </c>
      <c r="D269" s="20" t="s">
        <v>742</v>
      </c>
      <c r="E269" s="21"/>
      <c r="F269" s="20"/>
      <c r="G269" s="19" t="s">
        <v>1079</v>
      </c>
      <c r="H269" s="21" t="s">
        <v>1080</v>
      </c>
      <c r="I269" s="21" t="s">
        <v>20</v>
      </c>
      <c r="J269" s="20" t="s">
        <v>1081</v>
      </c>
      <c r="K269" s="20" t="s">
        <v>1082</v>
      </c>
    </row>
    <row r="270" spans="1:11" ht="46" customHeight="1">
      <c r="A270" s="19">
        <v>266</v>
      </c>
      <c r="B270" s="19" t="s">
        <v>741</v>
      </c>
      <c r="C270" s="20" t="s">
        <v>742</v>
      </c>
      <c r="D270" s="20" t="s">
        <v>742</v>
      </c>
      <c r="E270" s="21"/>
      <c r="F270" s="20"/>
      <c r="G270" s="19" t="s">
        <v>1083</v>
      </c>
      <c r="H270" s="21" t="s">
        <v>1084</v>
      </c>
      <c r="I270" s="21" t="s">
        <v>16</v>
      </c>
      <c r="J270" s="20" t="s">
        <v>1085</v>
      </c>
      <c r="K270" s="20" t="s">
        <v>1086</v>
      </c>
    </row>
    <row r="271" spans="1:11" ht="46" customHeight="1">
      <c r="A271" s="19">
        <v>267</v>
      </c>
      <c r="B271" s="19" t="s">
        <v>741</v>
      </c>
      <c r="C271" s="20" t="s">
        <v>742</v>
      </c>
      <c r="D271" s="20" t="s">
        <v>742</v>
      </c>
      <c r="E271" s="21"/>
      <c r="F271" s="20"/>
      <c r="G271" s="19" t="s">
        <v>1087</v>
      </c>
      <c r="H271" s="21" t="s">
        <v>1088</v>
      </c>
      <c r="I271" s="21" t="s">
        <v>24</v>
      </c>
      <c r="J271" s="20" t="s">
        <v>1089</v>
      </c>
      <c r="K271" s="20" t="s">
        <v>1090</v>
      </c>
    </row>
    <row r="272" spans="1:11" ht="46" customHeight="1">
      <c r="A272" s="19">
        <v>268</v>
      </c>
      <c r="B272" s="19" t="s">
        <v>741</v>
      </c>
      <c r="C272" s="20" t="s">
        <v>742</v>
      </c>
      <c r="D272" s="20" t="s">
        <v>742</v>
      </c>
      <c r="E272" s="21"/>
      <c r="F272" s="20"/>
      <c r="G272" s="19" t="s">
        <v>1091</v>
      </c>
      <c r="H272" s="21" t="s">
        <v>1092</v>
      </c>
      <c r="I272" s="21" t="s">
        <v>24</v>
      </c>
      <c r="J272" s="20" t="s">
        <v>1093</v>
      </c>
      <c r="K272" s="20" t="s">
        <v>1094</v>
      </c>
    </row>
    <row r="273" spans="1:11" ht="46" customHeight="1">
      <c r="A273" s="19">
        <v>269</v>
      </c>
      <c r="B273" s="19" t="s">
        <v>741</v>
      </c>
      <c r="C273" s="20" t="s">
        <v>742</v>
      </c>
      <c r="D273" s="20" t="s">
        <v>742</v>
      </c>
      <c r="E273" s="21"/>
      <c r="F273" s="20"/>
      <c r="G273" s="19" t="s">
        <v>1095</v>
      </c>
      <c r="H273" s="21" t="s">
        <v>1096</v>
      </c>
      <c r="I273" s="21" t="s">
        <v>16</v>
      </c>
      <c r="J273" s="20" t="s">
        <v>1097</v>
      </c>
      <c r="K273" s="20" t="s">
        <v>1098</v>
      </c>
    </row>
    <row r="274" spans="1:11" ht="46" customHeight="1">
      <c r="A274" s="19">
        <v>270</v>
      </c>
      <c r="B274" s="19" t="s">
        <v>741</v>
      </c>
      <c r="C274" s="20" t="s">
        <v>742</v>
      </c>
      <c r="D274" s="20" t="s">
        <v>742</v>
      </c>
      <c r="E274" s="21"/>
      <c r="F274" s="20"/>
      <c r="G274" s="19" t="s">
        <v>1099</v>
      </c>
      <c r="H274" s="21" t="s">
        <v>1100</v>
      </c>
      <c r="I274" s="21" t="s">
        <v>20</v>
      </c>
      <c r="J274" s="20" t="s">
        <v>1101</v>
      </c>
      <c r="K274" s="20" t="s">
        <v>1102</v>
      </c>
    </row>
    <row r="275" spans="1:11" ht="46" customHeight="1">
      <c r="A275" s="19">
        <v>271</v>
      </c>
      <c r="B275" s="19" t="s">
        <v>741</v>
      </c>
      <c r="C275" s="20" t="s">
        <v>742</v>
      </c>
      <c r="D275" s="20" t="s">
        <v>742</v>
      </c>
      <c r="E275" s="21"/>
      <c r="F275" s="20"/>
      <c r="G275" s="19" t="s">
        <v>1103</v>
      </c>
      <c r="H275" s="21" t="s">
        <v>1104</v>
      </c>
      <c r="I275" s="21" t="s">
        <v>24</v>
      </c>
      <c r="J275" s="20" t="s">
        <v>1105</v>
      </c>
      <c r="K275" s="20" t="s">
        <v>1106</v>
      </c>
    </row>
    <row r="276" spans="1:11" ht="46" customHeight="1">
      <c r="A276" s="19">
        <v>272</v>
      </c>
      <c r="B276" s="19" t="s">
        <v>1107</v>
      </c>
      <c r="C276" s="20" t="s">
        <v>1108</v>
      </c>
      <c r="D276" s="20" t="s">
        <v>1108</v>
      </c>
      <c r="E276" s="21"/>
      <c r="F276" s="20"/>
      <c r="G276" s="19" t="s">
        <v>1109</v>
      </c>
      <c r="H276" s="21" t="s">
        <v>1110</v>
      </c>
      <c r="I276" s="21" t="s">
        <v>16</v>
      </c>
      <c r="J276" s="20" t="s">
        <v>676</v>
      </c>
      <c r="K276" s="20" t="s">
        <v>1111</v>
      </c>
    </row>
    <row r="277" spans="1:11" ht="46" customHeight="1">
      <c r="A277" s="19">
        <v>273</v>
      </c>
      <c r="B277" s="19" t="s">
        <v>1107</v>
      </c>
      <c r="C277" s="20" t="s">
        <v>1108</v>
      </c>
      <c r="D277" s="20" t="s">
        <v>1108</v>
      </c>
      <c r="E277" s="21"/>
      <c r="F277" s="20"/>
      <c r="G277" s="19" t="s">
        <v>1112</v>
      </c>
      <c r="H277" s="21" t="s">
        <v>1113</v>
      </c>
      <c r="I277" s="21" t="s">
        <v>16</v>
      </c>
      <c r="J277" s="20" t="s">
        <v>1114</v>
      </c>
      <c r="K277" s="20" t="s">
        <v>1115</v>
      </c>
    </row>
    <row r="278" spans="1:11" ht="46" customHeight="1">
      <c r="A278" s="19">
        <v>274</v>
      </c>
      <c r="B278" s="19" t="s">
        <v>1107</v>
      </c>
      <c r="C278" s="20" t="s">
        <v>1108</v>
      </c>
      <c r="D278" s="20" t="s">
        <v>1108</v>
      </c>
      <c r="E278" s="21"/>
      <c r="F278" s="20"/>
      <c r="G278" s="19" t="s">
        <v>1116</v>
      </c>
      <c r="H278" s="21" t="s">
        <v>1117</v>
      </c>
      <c r="I278" s="21" t="s">
        <v>16</v>
      </c>
      <c r="J278" s="20" t="s">
        <v>1118</v>
      </c>
      <c r="K278" s="20" t="s">
        <v>1119</v>
      </c>
    </row>
    <row r="279" spans="1:11" ht="46" customHeight="1">
      <c r="A279" s="19">
        <v>275</v>
      </c>
      <c r="B279" s="19" t="s">
        <v>1107</v>
      </c>
      <c r="C279" s="20" t="s">
        <v>1108</v>
      </c>
      <c r="D279" s="20" t="s">
        <v>1108</v>
      </c>
      <c r="E279" s="21"/>
      <c r="F279" s="20"/>
      <c r="G279" s="19" t="s">
        <v>1120</v>
      </c>
      <c r="H279" s="21" t="s">
        <v>1121</v>
      </c>
      <c r="I279" s="21" t="s">
        <v>16</v>
      </c>
      <c r="J279" s="20" t="s">
        <v>1122</v>
      </c>
      <c r="K279" s="20" t="s">
        <v>1123</v>
      </c>
    </row>
    <row r="280" spans="1:11" ht="46" customHeight="1">
      <c r="A280" s="19">
        <v>276</v>
      </c>
      <c r="B280" s="19" t="s">
        <v>1107</v>
      </c>
      <c r="C280" s="20" t="s">
        <v>1108</v>
      </c>
      <c r="D280" s="20" t="s">
        <v>1108</v>
      </c>
      <c r="E280" s="21"/>
      <c r="F280" s="20"/>
      <c r="G280" s="19" t="s">
        <v>1124</v>
      </c>
      <c r="H280" s="21" t="s">
        <v>1125</v>
      </c>
      <c r="I280" s="21" t="s">
        <v>16</v>
      </c>
      <c r="J280" s="20" t="s">
        <v>1126</v>
      </c>
      <c r="K280" s="20" t="s">
        <v>1127</v>
      </c>
    </row>
    <row r="281" spans="1:11" ht="46" customHeight="1">
      <c r="A281" s="19">
        <v>277</v>
      </c>
      <c r="B281" s="19" t="s">
        <v>1107</v>
      </c>
      <c r="C281" s="20" t="s">
        <v>1108</v>
      </c>
      <c r="D281" s="20" t="s">
        <v>1108</v>
      </c>
      <c r="E281" s="21"/>
      <c r="F281" s="20"/>
      <c r="G281" s="19" t="s">
        <v>1128</v>
      </c>
      <c r="H281" s="21" t="s">
        <v>1129</v>
      </c>
      <c r="I281" s="21" t="s">
        <v>16</v>
      </c>
      <c r="J281" s="20" t="s">
        <v>1130</v>
      </c>
      <c r="K281" s="20" t="s">
        <v>1131</v>
      </c>
    </row>
    <row r="282" spans="1:11" ht="46" customHeight="1">
      <c r="A282" s="19">
        <v>278</v>
      </c>
      <c r="B282" s="19" t="s">
        <v>1107</v>
      </c>
      <c r="C282" s="20" t="s">
        <v>1108</v>
      </c>
      <c r="D282" s="20" t="s">
        <v>1108</v>
      </c>
      <c r="E282" s="21"/>
      <c r="F282" s="20"/>
      <c r="G282" s="19" t="s">
        <v>1132</v>
      </c>
      <c r="H282" s="21" t="s">
        <v>1133</v>
      </c>
      <c r="I282" s="21" t="s">
        <v>16</v>
      </c>
      <c r="J282" s="20" t="s">
        <v>1130</v>
      </c>
      <c r="K282" s="20" t="s">
        <v>1134</v>
      </c>
    </row>
    <row r="283" spans="1:11" ht="46" customHeight="1">
      <c r="A283" s="19">
        <v>279</v>
      </c>
      <c r="B283" s="19" t="s">
        <v>1107</v>
      </c>
      <c r="C283" s="20" t="s">
        <v>1108</v>
      </c>
      <c r="D283" s="20" t="s">
        <v>1108</v>
      </c>
      <c r="E283" s="21"/>
      <c r="F283" s="20"/>
      <c r="G283" s="19" t="s">
        <v>1135</v>
      </c>
      <c r="H283" s="21" t="s">
        <v>1136</v>
      </c>
      <c r="I283" s="21" t="s">
        <v>16</v>
      </c>
      <c r="J283" s="20" t="s">
        <v>1137</v>
      </c>
      <c r="K283" s="20" t="s">
        <v>1138</v>
      </c>
    </row>
    <row r="284" spans="1:11" ht="46" customHeight="1">
      <c r="A284" s="19">
        <v>280</v>
      </c>
      <c r="B284" s="19" t="s">
        <v>1107</v>
      </c>
      <c r="C284" s="20" t="s">
        <v>1108</v>
      </c>
      <c r="D284" s="20" t="s">
        <v>1108</v>
      </c>
      <c r="E284" s="21"/>
      <c r="F284" s="20"/>
      <c r="G284" s="19" t="s">
        <v>1139</v>
      </c>
      <c r="H284" s="21" t="s">
        <v>1140</v>
      </c>
      <c r="I284" s="21" t="s">
        <v>16</v>
      </c>
      <c r="J284" s="20" t="s">
        <v>689</v>
      </c>
      <c r="K284" s="20" t="s">
        <v>1141</v>
      </c>
    </row>
    <row r="285" spans="1:11" ht="46" customHeight="1">
      <c r="A285" s="19">
        <v>281</v>
      </c>
      <c r="B285" s="19" t="s">
        <v>1107</v>
      </c>
      <c r="C285" s="20" t="s">
        <v>1108</v>
      </c>
      <c r="D285" s="20" t="s">
        <v>1108</v>
      </c>
      <c r="E285" s="21"/>
      <c r="F285" s="20"/>
      <c r="G285" s="19" t="s">
        <v>1142</v>
      </c>
      <c r="H285" s="21" t="s">
        <v>1143</v>
      </c>
      <c r="I285" s="21" t="s">
        <v>16</v>
      </c>
      <c r="J285" s="20" t="s">
        <v>1144</v>
      </c>
      <c r="K285" s="20" t="s">
        <v>1145</v>
      </c>
    </row>
    <row r="286" spans="1:11" ht="46" customHeight="1">
      <c r="A286" s="19">
        <v>282</v>
      </c>
      <c r="B286" s="19" t="s">
        <v>1107</v>
      </c>
      <c r="C286" s="20" t="s">
        <v>1108</v>
      </c>
      <c r="D286" s="20" t="s">
        <v>1108</v>
      </c>
      <c r="E286" s="21"/>
      <c r="F286" s="20"/>
      <c r="G286" s="19" t="s">
        <v>1146</v>
      </c>
      <c r="H286" s="21" t="s">
        <v>1147</v>
      </c>
      <c r="I286" s="21" t="s">
        <v>16</v>
      </c>
      <c r="J286" s="20" t="s">
        <v>1130</v>
      </c>
      <c r="K286" s="20" t="s">
        <v>1148</v>
      </c>
    </row>
    <row r="287" spans="1:11" ht="46" customHeight="1">
      <c r="A287" s="19">
        <v>283</v>
      </c>
      <c r="B287" s="19" t="s">
        <v>1107</v>
      </c>
      <c r="C287" s="20" t="s">
        <v>1108</v>
      </c>
      <c r="D287" s="20" t="s">
        <v>1108</v>
      </c>
      <c r="E287" s="21"/>
      <c r="F287" s="20"/>
      <c r="G287" s="19" t="s">
        <v>1149</v>
      </c>
      <c r="H287" s="21" t="s">
        <v>1150</v>
      </c>
      <c r="I287" s="21" t="s">
        <v>16</v>
      </c>
      <c r="J287" s="20" t="s">
        <v>1130</v>
      </c>
      <c r="K287" s="20" t="s">
        <v>1151</v>
      </c>
    </row>
    <row r="288" spans="1:11" ht="46" customHeight="1">
      <c r="A288" s="19">
        <v>284</v>
      </c>
      <c r="B288" s="19" t="s">
        <v>1107</v>
      </c>
      <c r="C288" s="20" t="s">
        <v>1108</v>
      </c>
      <c r="D288" s="20" t="s">
        <v>1108</v>
      </c>
      <c r="E288" s="21"/>
      <c r="F288" s="20"/>
      <c r="G288" s="19" t="s">
        <v>1152</v>
      </c>
      <c r="H288" s="21" t="s">
        <v>1153</v>
      </c>
      <c r="I288" s="21" t="s">
        <v>16</v>
      </c>
      <c r="J288" s="20" t="s">
        <v>1154</v>
      </c>
      <c r="K288" s="20" t="s">
        <v>1155</v>
      </c>
    </row>
    <row r="289" spans="1:11" ht="46" customHeight="1">
      <c r="A289" s="19">
        <v>285</v>
      </c>
      <c r="B289" s="19" t="s">
        <v>1107</v>
      </c>
      <c r="C289" s="20" t="s">
        <v>1108</v>
      </c>
      <c r="D289" s="20" t="s">
        <v>1108</v>
      </c>
      <c r="E289" s="21"/>
      <c r="F289" s="20"/>
      <c r="G289" s="19" t="s">
        <v>1156</v>
      </c>
      <c r="H289" s="21" t="s">
        <v>1157</v>
      </c>
      <c r="I289" s="21" t="s">
        <v>16</v>
      </c>
      <c r="J289" s="20" t="s">
        <v>526</v>
      </c>
      <c r="K289" s="20" t="s">
        <v>1158</v>
      </c>
    </row>
    <row r="290" spans="1:11" ht="46" customHeight="1">
      <c r="A290" s="19">
        <v>286</v>
      </c>
      <c r="B290" s="19" t="s">
        <v>1107</v>
      </c>
      <c r="C290" s="20" t="s">
        <v>1108</v>
      </c>
      <c r="D290" s="20" t="s">
        <v>1108</v>
      </c>
      <c r="E290" s="21"/>
      <c r="F290" s="20"/>
      <c r="G290" s="19" t="s">
        <v>1159</v>
      </c>
      <c r="H290" s="21" t="s">
        <v>1160</v>
      </c>
      <c r="I290" s="21" t="s">
        <v>16</v>
      </c>
      <c r="J290" s="20" t="s">
        <v>526</v>
      </c>
      <c r="K290" s="20" t="s">
        <v>1161</v>
      </c>
    </row>
    <row r="291" spans="1:11" ht="46" customHeight="1">
      <c r="A291" s="19">
        <v>287</v>
      </c>
      <c r="B291" s="19" t="s">
        <v>1107</v>
      </c>
      <c r="C291" s="20" t="s">
        <v>1108</v>
      </c>
      <c r="D291" s="20" t="s">
        <v>1108</v>
      </c>
      <c r="E291" s="21"/>
      <c r="F291" s="20"/>
      <c r="G291" s="19" t="s">
        <v>1162</v>
      </c>
      <c r="H291" s="21" t="s">
        <v>1163</v>
      </c>
      <c r="I291" s="21" t="s">
        <v>16</v>
      </c>
      <c r="J291" s="20" t="s">
        <v>1164</v>
      </c>
      <c r="K291" s="20" t="s">
        <v>1165</v>
      </c>
    </row>
    <row r="292" spans="1:11" ht="46" customHeight="1">
      <c r="A292" s="19">
        <v>288</v>
      </c>
      <c r="B292" s="19" t="s">
        <v>1107</v>
      </c>
      <c r="C292" s="20" t="s">
        <v>1108</v>
      </c>
      <c r="D292" s="20" t="s">
        <v>1108</v>
      </c>
      <c r="E292" s="21"/>
      <c r="F292" s="20"/>
      <c r="G292" s="19" t="s">
        <v>1166</v>
      </c>
      <c r="H292" s="21" t="s">
        <v>1167</v>
      </c>
      <c r="I292" s="21" t="s">
        <v>16</v>
      </c>
      <c r="J292" s="20" t="s">
        <v>696</v>
      </c>
      <c r="K292" s="20" t="s">
        <v>1168</v>
      </c>
    </row>
    <row r="293" spans="1:11" ht="46" customHeight="1">
      <c r="A293" s="19">
        <v>289</v>
      </c>
      <c r="B293" s="19" t="s">
        <v>1107</v>
      </c>
      <c r="C293" s="20" t="s">
        <v>1108</v>
      </c>
      <c r="D293" s="20" t="s">
        <v>1108</v>
      </c>
      <c r="E293" s="21"/>
      <c r="F293" s="20"/>
      <c r="G293" s="19" t="s">
        <v>1169</v>
      </c>
      <c r="H293" s="21" t="s">
        <v>1170</v>
      </c>
      <c r="I293" s="21" t="s">
        <v>16</v>
      </c>
      <c r="J293" s="20" t="s">
        <v>70</v>
      </c>
      <c r="K293" s="20" t="s">
        <v>1171</v>
      </c>
    </row>
    <row r="294" spans="1:11" ht="46" customHeight="1">
      <c r="A294" s="19">
        <v>290</v>
      </c>
      <c r="B294" s="19" t="s">
        <v>1107</v>
      </c>
      <c r="C294" s="20" t="s">
        <v>1108</v>
      </c>
      <c r="D294" s="20" t="s">
        <v>1108</v>
      </c>
      <c r="E294" s="21"/>
      <c r="F294" s="20"/>
      <c r="G294" s="19" t="s">
        <v>1172</v>
      </c>
      <c r="H294" s="21" t="s">
        <v>1173</v>
      </c>
      <c r="I294" s="21" t="s">
        <v>16</v>
      </c>
      <c r="J294" s="20" t="s">
        <v>70</v>
      </c>
      <c r="K294" s="20" t="s">
        <v>1174</v>
      </c>
    </row>
    <row r="295" spans="1:11" ht="46" customHeight="1">
      <c r="A295" s="19">
        <v>291</v>
      </c>
      <c r="B295" s="19" t="s">
        <v>1107</v>
      </c>
      <c r="C295" s="20" t="s">
        <v>1108</v>
      </c>
      <c r="D295" s="20" t="s">
        <v>1108</v>
      </c>
      <c r="E295" s="21"/>
      <c r="F295" s="20"/>
      <c r="G295" s="19" t="s">
        <v>1175</v>
      </c>
      <c r="H295" s="21" t="s">
        <v>1176</v>
      </c>
      <c r="I295" s="21" t="s">
        <v>16</v>
      </c>
      <c r="J295" s="20" t="s">
        <v>1177</v>
      </c>
      <c r="K295" s="20" t="s">
        <v>1178</v>
      </c>
    </row>
    <row r="296" spans="1:11" ht="46" customHeight="1">
      <c r="A296" s="19">
        <v>292</v>
      </c>
      <c r="B296" s="19" t="s">
        <v>1107</v>
      </c>
      <c r="C296" s="20" t="s">
        <v>1108</v>
      </c>
      <c r="D296" s="20" t="s">
        <v>1108</v>
      </c>
      <c r="E296" s="21"/>
      <c r="F296" s="20"/>
      <c r="G296" s="19" t="s">
        <v>1179</v>
      </c>
      <c r="H296" s="21" t="s">
        <v>1180</v>
      </c>
      <c r="I296" s="21" t="s">
        <v>16</v>
      </c>
      <c r="J296" s="20" t="s">
        <v>70</v>
      </c>
      <c r="K296" s="20" t="s">
        <v>1181</v>
      </c>
    </row>
    <row r="297" spans="1:11" ht="46" customHeight="1">
      <c r="A297" s="19">
        <v>293</v>
      </c>
      <c r="B297" s="19" t="s">
        <v>1107</v>
      </c>
      <c r="C297" s="20" t="s">
        <v>1108</v>
      </c>
      <c r="D297" s="20" t="s">
        <v>1108</v>
      </c>
      <c r="E297" s="21"/>
      <c r="F297" s="20"/>
      <c r="G297" s="19" t="s">
        <v>1182</v>
      </c>
      <c r="H297" s="21" t="s">
        <v>1183</v>
      </c>
      <c r="I297" s="21" t="s">
        <v>16</v>
      </c>
      <c r="J297" s="20" t="s">
        <v>1184</v>
      </c>
      <c r="K297" s="20" t="s">
        <v>1185</v>
      </c>
    </row>
    <row r="298" spans="1:11" ht="46" customHeight="1">
      <c r="A298" s="19">
        <v>294</v>
      </c>
      <c r="B298" s="19" t="s">
        <v>1107</v>
      </c>
      <c r="C298" s="20" t="s">
        <v>1108</v>
      </c>
      <c r="D298" s="20" t="s">
        <v>1108</v>
      </c>
      <c r="E298" s="21"/>
      <c r="F298" s="20"/>
      <c r="G298" s="19" t="s">
        <v>1186</v>
      </c>
      <c r="H298" s="21" t="s">
        <v>1187</v>
      </c>
      <c r="I298" s="21" t="s">
        <v>24</v>
      </c>
      <c r="J298" s="20" t="s">
        <v>1188</v>
      </c>
      <c r="K298" s="20" t="s">
        <v>1189</v>
      </c>
    </row>
    <row r="299" spans="1:11" ht="46" customHeight="1">
      <c r="A299" s="19">
        <v>295</v>
      </c>
      <c r="B299" s="19" t="s">
        <v>1107</v>
      </c>
      <c r="C299" s="20" t="s">
        <v>1108</v>
      </c>
      <c r="D299" s="20" t="s">
        <v>1108</v>
      </c>
      <c r="E299" s="21"/>
      <c r="F299" s="20"/>
      <c r="G299" s="19" t="s">
        <v>1190</v>
      </c>
      <c r="H299" s="21" t="s">
        <v>1191</v>
      </c>
      <c r="I299" s="21" t="s">
        <v>16</v>
      </c>
      <c r="J299" s="20" t="s">
        <v>1192</v>
      </c>
      <c r="K299" s="20" t="s">
        <v>1193</v>
      </c>
    </row>
    <row r="300" spans="1:11" ht="46" customHeight="1">
      <c r="A300" s="19">
        <v>296</v>
      </c>
      <c r="B300" s="19" t="s">
        <v>1107</v>
      </c>
      <c r="C300" s="20" t="s">
        <v>1108</v>
      </c>
      <c r="D300" s="20" t="s">
        <v>1108</v>
      </c>
      <c r="E300" s="21"/>
      <c r="F300" s="20"/>
      <c r="G300" s="19" t="s">
        <v>1194</v>
      </c>
      <c r="H300" s="21" t="s">
        <v>1195</v>
      </c>
      <c r="I300" s="21" t="s">
        <v>16</v>
      </c>
      <c r="J300" s="20" t="s">
        <v>540</v>
      </c>
      <c r="K300" s="20" t="s">
        <v>1196</v>
      </c>
    </row>
    <row r="301" spans="1:11" ht="46" customHeight="1">
      <c r="A301" s="19">
        <v>297</v>
      </c>
      <c r="B301" s="19" t="s">
        <v>1107</v>
      </c>
      <c r="C301" s="20" t="s">
        <v>1108</v>
      </c>
      <c r="D301" s="20" t="s">
        <v>1108</v>
      </c>
      <c r="E301" s="21"/>
      <c r="F301" s="20"/>
      <c r="G301" s="19" t="s">
        <v>1197</v>
      </c>
      <c r="H301" s="21" t="s">
        <v>1198</v>
      </c>
      <c r="I301" s="21" t="s">
        <v>24</v>
      </c>
      <c r="J301" s="20" t="s">
        <v>1199</v>
      </c>
      <c r="K301" s="20" t="s">
        <v>1200</v>
      </c>
    </row>
    <row r="302" spans="1:11" ht="46" customHeight="1">
      <c r="A302" s="19">
        <v>298</v>
      </c>
      <c r="B302" s="19" t="s">
        <v>1201</v>
      </c>
      <c r="C302" s="20" t="s">
        <v>1202</v>
      </c>
      <c r="D302" s="20" t="s">
        <v>1202</v>
      </c>
      <c r="E302" s="21"/>
      <c r="F302" s="20"/>
      <c r="G302" s="19" t="s">
        <v>1203</v>
      </c>
      <c r="H302" s="21" t="s">
        <v>1204</v>
      </c>
      <c r="I302" s="21" t="s">
        <v>16</v>
      </c>
      <c r="J302" s="20" t="s">
        <v>338</v>
      </c>
      <c r="K302" s="20" t="s">
        <v>1205</v>
      </c>
    </row>
    <row r="303" spans="1:11" ht="46" customHeight="1">
      <c r="A303" s="19">
        <v>299</v>
      </c>
      <c r="B303" s="19" t="s">
        <v>1201</v>
      </c>
      <c r="C303" s="20" t="s">
        <v>1202</v>
      </c>
      <c r="D303" s="20" t="s">
        <v>1202</v>
      </c>
      <c r="E303" s="21"/>
      <c r="F303" s="20"/>
      <c r="G303" s="19" t="s">
        <v>1206</v>
      </c>
      <c r="H303" s="21" t="s">
        <v>1207</v>
      </c>
      <c r="I303" s="21" t="s">
        <v>16</v>
      </c>
      <c r="J303" s="20" t="s">
        <v>1208</v>
      </c>
      <c r="K303" s="20" t="s">
        <v>1209</v>
      </c>
    </row>
    <row r="304" spans="1:11" ht="46" customHeight="1">
      <c r="A304" s="19">
        <v>300</v>
      </c>
      <c r="B304" s="19" t="s">
        <v>1201</v>
      </c>
      <c r="C304" s="20" t="s">
        <v>1202</v>
      </c>
      <c r="D304" s="20" t="s">
        <v>1202</v>
      </c>
      <c r="E304" s="21"/>
      <c r="F304" s="20"/>
      <c r="G304" s="19" t="s">
        <v>1210</v>
      </c>
      <c r="H304" s="21" t="s">
        <v>1211</v>
      </c>
      <c r="I304" s="21" t="s">
        <v>16</v>
      </c>
      <c r="J304" s="20" t="s">
        <v>158</v>
      </c>
      <c r="K304" s="20" t="s">
        <v>1212</v>
      </c>
    </row>
    <row r="305" spans="1:11" ht="46" customHeight="1">
      <c r="A305" s="19">
        <v>301</v>
      </c>
      <c r="B305" s="19" t="s">
        <v>1201</v>
      </c>
      <c r="C305" s="20" t="s">
        <v>1202</v>
      </c>
      <c r="D305" s="20" t="s">
        <v>1202</v>
      </c>
      <c r="E305" s="21"/>
      <c r="F305" s="20"/>
      <c r="G305" s="19" t="s">
        <v>1213</v>
      </c>
      <c r="H305" s="21" t="s">
        <v>1214</v>
      </c>
      <c r="I305" s="21" t="s">
        <v>1215</v>
      </c>
      <c r="J305" s="20" t="s">
        <v>1216</v>
      </c>
      <c r="K305" s="20" t="s">
        <v>1217</v>
      </c>
    </row>
    <row r="306" spans="1:11" ht="46" customHeight="1">
      <c r="A306" s="19">
        <v>302</v>
      </c>
      <c r="B306" s="19" t="s">
        <v>1201</v>
      </c>
      <c r="C306" s="20" t="s">
        <v>1202</v>
      </c>
      <c r="D306" s="20" t="s">
        <v>1202</v>
      </c>
      <c r="E306" s="21"/>
      <c r="F306" s="20"/>
      <c r="G306" s="19" t="s">
        <v>1218</v>
      </c>
      <c r="H306" s="21" t="s">
        <v>1219</v>
      </c>
      <c r="I306" s="21" t="s">
        <v>24</v>
      </c>
      <c r="J306" s="20" t="s">
        <v>158</v>
      </c>
      <c r="K306" s="20" t="s">
        <v>1220</v>
      </c>
    </row>
    <row r="307" spans="1:11" ht="46" customHeight="1">
      <c r="A307" s="19">
        <v>303</v>
      </c>
      <c r="B307" s="19" t="s">
        <v>1201</v>
      </c>
      <c r="C307" s="20" t="s">
        <v>1202</v>
      </c>
      <c r="D307" s="20" t="s">
        <v>1202</v>
      </c>
      <c r="E307" s="21"/>
      <c r="F307" s="20"/>
      <c r="G307" s="19" t="s">
        <v>1221</v>
      </c>
      <c r="H307" s="21" t="s">
        <v>1222</v>
      </c>
      <c r="I307" s="21" t="s">
        <v>16</v>
      </c>
      <c r="J307" s="20" t="s">
        <v>1223</v>
      </c>
      <c r="K307" s="20" t="s">
        <v>1224</v>
      </c>
    </row>
    <row r="308" spans="1:11" ht="46" customHeight="1">
      <c r="A308" s="19">
        <v>304</v>
      </c>
      <c r="B308" s="19" t="s">
        <v>1201</v>
      </c>
      <c r="C308" s="20" t="s">
        <v>1202</v>
      </c>
      <c r="D308" s="20" t="s">
        <v>1202</v>
      </c>
      <c r="E308" s="21"/>
      <c r="F308" s="20"/>
      <c r="G308" s="19" t="s">
        <v>1225</v>
      </c>
      <c r="H308" s="21" t="s">
        <v>1226</v>
      </c>
      <c r="I308" s="21" t="s">
        <v>16</v>
      </c>
      <c r="J308" s="20" t="s">
        <v>1227</v>
      </c>
      <c r="K308" s="20" t="s">
        <v>1228</v>
      </c>
    </row>
    <row r="309" spans="1:11" ht="46" customHeight="1">
      <c r="A309" s="19">
        <v>305</v>
      </c>
      <c r="B309" s="19" t="s">
        <v>1201</v>
      </c>
      <c r="C309" s="20" t="s">
        <v>1202</v>
      </c>
      <c r="D309" s="20" t="s">
        <v>1202</v>
      </c>
      <c r="E309" s="21"/>
      <c r="F309" s="20"/>
      <c r="G309" s="19" t="s">
        <v>1229</v>
      </c>
      <c r="H309" s="21" t="s">
        <v>1230</v>
      </c>
      <c r="I309" s="21" t="s">
        <v>24</v>
      </c>
      <c r="J309" s="20" t="s">
        <v>1231</v>
      </c>
      <c r="K309" s="20" t="s">
        <v>1232</v>
      </c>
    </row>
    <row r="310" spans="1:11" ht="46" customHeight="1">
      <c r="A310" s="19">
        <v>306</v>
      </c>
      <c r="B310" s="19" t="s">
        <v>1201</v>
      </c>
      <c r="C310" s="20" t="s">
        <v>1202</v>
      </c>
      <c r="D310" s="20" t="s">
        <v>1202</v>
      </c>
      <c r="E310" s="21"/>
      <c r="F310" s="20"/>
      <c r="G310" s="19" t="s">
        <v>1233</v>
      </c>
      <c r="H310" s="21" t="s">
        <v>1234</v>
      </c>
      <c r="I310" s="21" t="s">
        <v>24</v>
      </c>
      <c r="J310" s="20" t="s">
        <v>1231</v>
      </c>
      <c r="K310" s="20" t="s">
        <v>1235</v>
      </c>
    </row>
    <row r="311" spans="1:11" ht="46" customHeight="1">
      <c r="A311" s="19">
        <v>307</v>
      </c>
      <c r="B311" s="19" t="s">
        <v>1201</v>
      </c>
      <c r="C311" s="20" t="s">
        <v>1202</v>
      </c>
      <c r="D311" s="20" t="s">
        <v>1202</v>
      </c>
      <c r="E311" s="21"/>
      <c r="F311" s="20"/>
      <c r="G311" s="19" t="s">
        <v>1236</v>
      </c>
      <c r="H311" s="21" t="s">
        <v>1237</v>
      </c>
      <c r="I311" s="21" t="s">
        <v>24</v>
      </c>
      <c r="J311" s="20" t="s">
        <v>1238</v>
      </c>
      <c r="K311" s="20" t="s">
        <v>1239</v>
      </c>
    </row>
    <row r="312" spans="1:11" ht="46" customHeight="1">
      <c r="A312" s="19">
        <v>308</v>
      </c>
      <c r="B312" s="19" t="s">
        <v>1201</v>
      </c>
      <c r="C312" s="20" t="s">
        <v>1202</v>
      </c>
      <c r="D312" s="20" t="s">
        <v>1202</v>
      </c>
      <c r="E312" s="21"/>
      <c r="F312" s="20"/>
      <c r="G312" s="19" t="s">
        <v>1240</v>
      </c>
      <c r="H312" s="21" t="s">
        <v>1241</v>
      </c>
      <c r="I312" s="21" t="s">
        <v>24</v>
      </c>
      <c r="J312" s="20" t="s">
        <v>1242</v>
      </c>
      <c r="K312" s="20" t="s">
        <v>1243</v>
      </c>
    </row>
    <row r="313" spans="1:11" ht="46" customHeight="1">
      <c r="A313" s="19">
        <v>309</v>
      </c>
      <c r="B313" s="19" t="s">
        <v>1201</v>
      </c>
      <c r="C313" s="20" t="s">
        <v>1202</v>
      </c>
      <c r="D313" s="20" t="s">
        <v>1202</v>
      </c>
      <c r="E313" s="21"/>
      <c r="F313" s="20"/>
      <c r="G313" s="19" t="s">
        <v>1244</v>
      </c>
      <c r="H313" s="21" t="s">
        <v>1245</v>
      </c>
      <c r="I313" s="21" t="s">
        <v>24</v>
      </c>
      <c r="J313" s="20" t="s">
        <v>1246</v>
      </c>
      <c r="K313" s="20" t="s">
        <v>1247</v>
      </c>
    </row>
    <row r="314" spans="1:11" ht="46" customHeight="1">
      <c r="A314" s="19">
        <v>310</v>
      </c>
      <c r="B314" s="19" t="s">
        <v>1201</v>
      </c>
      <c r="C314" s="20" t="s">
        <v>1202</v>
      </c>
      <c r="D314" s="20" t="s">
        <v>1202</v>
      </c>
      <c r="E314" s="21"/>
      <c r="F314" s="20"/>
      <c r="G314" s="19" t="s">
        <v>1248</v>
      </c>
      <c r="H314" s="21" t="s">
        <v>1249</v>
      </c>
      <c r="I314" s="21" t="s">
        <v>24</v>
      </c>
      <c r="J314" s="20" t="s">
        <v>1250</v>
      </c>
      <c r="K314" s="20" t="s">
        <v>1251</v>
      </c>
    </row>
    <row r="315" spans="1:11" ht="46" customHeight="1">
      <c r="A315" s="19">
        <v>311</v>
      </c>
      <c r="B315" s="19" t="s">
        <v>1201</v>
      </c>
      <c r="C315" s="20" t="s">
        <v>1202</v>
      </c>
      <c r="D315" s="20" t="s">
        <v>1202</v>
      </c>
      <c r="E315" s="21"/>
      <c r="F315" s="20"/>
      <c r="G315" s="19" t="s">
        <v>1252</v>
      </c>
      <c r="H315" s="21" t="s">
        <v>1253</v>
      </c>
      <c r="I315" s="21" t="s">
        <v>24</v>
      </c>
      <c r="J315" s="20" t="s">
        <v>1254</v>
      </c>
      <c r="K315" s="20" t="s">
        <v>1255</v>
      </c>
    </row>
    <row r="316" spans="1:11" ht="46" customHeight="1">
      <c r="A316" s="19">
        <v>312</v>
      </c>
      <c r="B316" s="19" t="s">
        <v>1201</v>
      </c>
      <c r="C316" s="20" t="s">
        <v>1202</v>
      </c>
      <c r="D316" s="20" t="s">
        <v>1202</v>
      </c>
      <c r="E316" s="21"/>
      <c r="F316" s="20"/>
      <c r="G316" s="19" t="s">
        <v>1256</v>
      </c>
      <c r="H316" s="21" t="s">
        <v>1257</v>
      </c>
      <c r="I316" s="21" t="s">
        <v>24</v>
      </c>
      <c r="J316" s="20" t="s">
        <v>1254</v>
      </c>
      <c r="K316" s="20" t="s">
        <v>1258</v>
      </c>
    </row>
    <row r="317" spans="1:11" ht="46" customHeight="1">
      <c r="A317" s="19">
        <v>313</v>
      </c>
      <c r="B317" s="19" t="s">
        <v>1201</v>
      </c>
      <c r="C317" s="20" t="s">
        <v>1202</v>
      </c>
      <c r="D317" s="20" t="s">
        <v>1202</v>
      </c>
      <c r="E317" s="21"/>
      <c r="F317" s="20"/>
      <c r="G317" s="19" t="s">
        <v>1259</v>
      </c>
      <c r="H317" s="21" t="s">
        <v>1260</v>
      </c>
      <c r="I317" s="21" t="s">
        <v>1261</v>
      </c>
      <c r="J317" s="20" t="s">
        <v>1262</v>
      </c>
      <c r="K317" s="20" t="s">
        <v>1263</v>
      </c>
    </row>
    <row r="318" spans="1:11" ht="46" customHeight="1">
      <c r="A318" s="19">
        <v>314</v>
      </c>
      <c r="B318" s="19" t="s">
        <v>1201</v>
      </c>
      <c r="C318" s="20" t="s">
        <v>1202</v>
      </c>
      <c r="D318" s="20" t="s">
        <v>1202</v>
      </c>
      <c r="E318" s="21"/>
      <c r="F318" s="20"/>
      <c r="G318" s="19" t="s">
        <v>1264</v>
      </c>
      <c r="H318" s="21" t="s">
        <v>1265</v>
      </c>
      <c r="I318" s="21" t="s">
        <v>16</v>
      </c>
      <c r="J318" s="20" t="s">
        <v>1266</v>
      </c>
      <c r="K318" s="20" t="s">
        <v>1267</v>
      </c>
    </row>
    <row r="319" spans="1:11" ht="46" customHeight="1">
      <c r="A319" s="19">
        <v>315</v>
      </c>
      <c r="B319" s="19" t="s">
        <v>1201</v>
      </c>
      <c r="C319" s="20" t="s">
        <v>1202</v>
      </c>
      <c r="D319" s="20" t="s">
        <v>1202</v>
      </c>
      <c r="E319" s="21"/>
      <c r="F319" s="20"/>
      <c r="G319" s="19" t="s">
        <v>1268</v>
      </c>
      <c r="H319" s="21" t="s">
        <v>1269</v>
      </c>
      <c r="I319" s="21" t="s">
        <v>24</v>
      </c>
      <c r="J319" s="20" t="s">
        <v>1270</v>
      </c>
      <c r="K319" s="20" t="s">
        <v>1271</v>
      </c>
    </row>
    <row r="320" spans="1:11" ht="46" customHeight="1">
      <c r="A320" s="19">
        <v>316</v>
      </c>
      <c r="B320" s="19" t="s">
        <v>1201</v>
      </c>
      <c r="C320" s="20" t="s">
        <v>1202</v>
      </c>
      <c r="D320" s="20" t="s">
        <v>1202</v>
      </c>
      <c r="E320" s="21"/>
      <c r="F320" s="20"/>
      <c r="G320" s="19" t="s">
        <v>1272</v>
      </c>
      <c r="H320" s="21" t="s">
        <v>1273</v>
      </c>
      <c r="I320" s="21" t="s">
        <v>16</v>
      </c>
      <c r="J320" s="20" t="s">
        <v>308</v>
      </c>
      <c r="K320" s="20" t="s">
        <v>1274</v>
      </c>
    </row>
    <row r="321" spans="1:11" ht="46" customHeight="1">
      <c r="A321" s="19">
        <v>317</v>
      </c>
      <c r="B321" s="19" t="s">
        <v>1201</v>
      </c>
      <c r="C321" s="20" t="s">
        <v>1202</v>
      </c>
      <c r="D321" s="20" t="s">
        <v>1202</v>
      </c>
      <c r="E321" s="21"/>
      <c r="F321" s="20"/>
      <c r="G321" s="19" t="s">
        <v>1275</v>
      </c>
      <c r="H321" s="21" t="s">
        <v>1276</v>
      </c>
      <c r="I321" s="21" t="s">
        <v>16</v>
      </c>
      <c r="J321" s="20" t="s">
        <v>158</v>
      </c>
      <c r="K321" s="20" t="s">
        <v>1277</v>
      </c>
    </row>
    <row r="322" spans="1:11" ht="46" customHeight="1">
      <c r="A322" s="19">
        <v>318</v>
      </c>
      <c r="B322" s="19" t="s">
        <v>1201</v>
      </c>
      <c r="C322" s="20" t="s">
        <v>1202</v>
      </c>
      <c r="D322" s="20" t="s">
        <v>1202</v>
      </c>
      <c r="E322" s="21"/>
      <c r="F322" s="20"/>
      <c r="G322" s="19" t="s">
        <v>1278</v>
      </c>
      <c r="H322" s="21" t="s">
        <v>1279</v>
      </c>
      <c r="I322" s="21" t="s">
        <v>16</v>
      </c>
      <c r="J322" s="20" t="s">
        <v>784</v>
      </c>
      <c r="K322" s="20" t="s">
        <v>1280</v>
      </c>
    </row>
    <row r="323" spans="1:11" ht="46" customHeight="1">
      <c r="A323" s="19">
        <v>319</v>
      </c>
      <c r="B323" s="19" t="s">
        <v>1201</v>
      </c>
      <c r="C323" s="20" t="s">
        <v>1202</v>
      </c>
      <c r="D323" s="20" t="s">
        <v>1202</v>
      </c>
      <c r="E323" s="21"/>
      <c r="F323" s="20"/>
      <c r="G323" s="19" t="s">
        <v>1281</v>
      </c>
      <c r="H323" s="21" t="s">
        <v>1282</v>
      </c>
      <c r="I323" s="21" t="s">
        <v>24</v>
      </c>
      <c r="J323" s="20" t="s">
        <v>1283</v>
      </c>
      <c r="K323" s="20" t="s">
        <v>1284</v>
      </c>
    </row>
    <row r="324" spans="1:11" ht="46" customHeight="1">
      <c r="A324" s="19">
        <v>320</v>
      </c>
      <c r="B324" s="19" t="s">
        <v>1201</v>
      </c>
      <c r="C324" s="20" t="s">
        <v>1202</v>
      </c>
      <c r="D324" s="20" t="s">
        <v>1202</v>
      </c>
      <c r="E324" s="21"/>
      <c r="F324" s="20"/>
      <c r="G324" s="19" t="s">
        <v>1285</v>
      </c>
      <c r="H324" s="21" t="s">
        <v>1286</v>
      </c>
      <c r="I324" s="21" t="s">
        <v>16</v>
      </c>
      <c r="J324" s="20" t="s">
        <v>218</v>
      </c>
      <c r="K324" s="20" t="s">
        <v>1287</v>
      </c>
    </row>
    <row r="325" spans="1:11" ht="46" customHeight="1">
      <c r="A325" s="19">
        <v>321</v>
      </c>
      <c r="B325" s="19" t="s">
        <v>1201</v>
      </c>
      <c r="C325" s="20" t="s">
        <v>1202</v>
      </c>
      <c r="D325" s="20" t="s">
        <v>1202</v>
      </c>
      <c r="E325" s="21"/>
      <c r="F325" s="20"/>
      <c r="G325" s="19" t="s">
        <v>1288</v>
      </c>
      <c r="H325" s="21" t="s">
        <v>1289</v>
      </c>
      <c r="I325" s="21" t="s">
        <v>24</v>
      </c>
      <c r="J325" s="20" t="s">
        <v>1184</v>
      </c>
      <c r="K325" s="20" t="s">
        <v>1290</v>
      </c>
    </row>
    <row r="326" spans="1:11" ht="46" customHeight="1">
      <c r="A326" s="19">
        <v>322</v>
      </c>
      <c r="B326" s="19" t="s">
        <v>1201</v>
      </c>
      <c r="C326" s="20" t="s">
        <v>1202</v>
      </c>
      <c r="D326" s="20" t="s">
        <v>1202</v>
      </c>
      <c r="E326" s="21"/>
      <c r="F326" s="20"/>
      <c r="G326" s="19" t="s">
        <v>1291</v>
      </c>
      <c r="H326" s="21" t="s">
        <v>1292</v>
      </c>
      <c r="I326" s="21" t="s">
        <v>16</v>
      </c>
      <c r="J326" s="20" t="s">
        <v>1293</v>
      </c>
      <c r="K326" s="20" t="s">
        <v>1294</v>
      </c>
    </row>
    <row r="327" spans="1:11" ht="46" customHeight="1">
      <c r="A327" s="19">
        <v>323</v>
      </c>
      <c r="B327" s="19" t="s">
        <v>1201</v>
      </c>
      <c r="C327" s="20" t="s">
        <v>1202</v>
      </c>
      <c r="D327" s="20" t="s">
        <v>1202</v>
      </c>
      <c r="E327" s="21"/>
      <c r="F327" s="20"/>
      <c r="G327" s="19" t="s">
        <v>1295</v>
      </c>
      <c r="H327" s="21" t="s">
        <v>1296</v>
      </c>
      <c r="I327" s="21" t="s">
        <v>16</v>
      </c>
      <c r="J327" s="20" t="s">
        <v>1297</v>
      </c>
      <c r="K327" s="20" t="s">
        <v>1298</v>
      </c>
    </row>
    <row r="328" spans="1:11" ht="46" customHeight="1">
      <c r="A328" s="19">
        <v>324</v>
      </c>
      <c r="B328" s="19" t="s">
        <v>1201</v>
      </c>
      <c r="C328" s="20" t="s">
        <v>1202</v>
      </c>
      <c r="D328" s="20" t="s">
        <v>1202</v>
      </c>
      <c r="E328" s="21"/>
      <c r="F328" s="20"/>
      <c r="G328" s="19" t="s">
        <v>1299</v>
      </c>
      <c r="H328" s="21" t="s">
        <v>1300</v>
      </c>
      <c r="I328" s="21" t="s">
        <v>1301</v>
      </c>
      <c r="J328" s="20" t="s">
        <v>1302</v>
      </c>
      <c r="K328" s="20" t="s">
        <v>1303</v>
      </c>
    </row>
    <row r="329" spans="1:11" ht="46" customHeight="1">
      <c r="A329" s="19">
        <v>325</v>
      </c>
      <c r="B329" s="19" t="s">
        <v>1201</v>
      </c>
      <c r="C329" s="20" t="s">
        <v>1202</v>
      </c>
      <c r="D329" s="20" t="s">
        <v>1202</v>
      </c>
      <c r="E329" s="21"/>
      <c r="F329" s="20"/>
      <c r="G329" s="19" t="s">
        <v>1304</v>
      </c>
      <c r="H329" s="21" t="s">
        <v>1305</v>
      </c>
      <c r="I329" s="21" t="s">
        <v>1301</v>
      </c>
      <c r="J329" s="20" t="s">
        <v>1306</v>
      </c>
      <c r="K329" s="20" t="s">
        <v>1307</v>
      </c>
    </row>
    <row r="330" spans="1:11" ht="46" customHeight="1">
      <c r="A330" s="19">
        <v>326</v>
      </c>
      <c r="B330" s="19" t="s">
        <v>1201</v>
      </c>
      <c r="C330" s="20" t="s">
        <v>1202</v>
      </c>
      <c r="D330" s="20" t="s">
        <v>1202</v>
      </c>
      <c r="E330" s="21"/>
      <c r="F330" s="20"/>
      <c r="G330" s="19" t="s">
        <v>1308</v>
      </c>
      <c r="H330" s="21" t="s">
        <v>1309</v>
      </c>
      <c r="I330" s="21" t="s">
        <v>24</v>
      </c>
      <c r="J330" s="20" t="s">
        <v>1310</v>
      </c>
      <c r="K330" s="20" t="s">
        <v>1311</v>
      </c>
    </row>
    <row r="331" spans="1:11" ht="46" customHeight="1">
      <c r="A331" s="19">
        <v>327</v>
      </c>
      <c r="B331" s="19" t="s">
        <v>1201</v>
      </c>
      <c r="C331" s="20" t="s">
        <v>1202</v>
      </c>
      <c r="D331" s="20" t="s">
        <v>1202</v>
      </c>
      <c r="E331" s="21"/>
      <c r="F331" s="20"/>
      <c r="G331" s="19" t="s">
        <v>1312</v>
      </c>
      <c r="H331" s="21" t="s">
        <v>1313</v>
      </c>
      <c r="I331" s="21" t="s">
        <v>24</v>
      </c>
      <c r="J331" s="20" t="s">
        <v>1314</v>
      </c>
      <c r="K331" s="20" t="s">
        <v>1315</v>
      </c>
    </row>
    <row r="332" spans="1:11" ht="46" customHeight="1">
      <c r="A332" s="19">
        <v>328</v>
      </c>
      <c r="B332" s="19" t="s">
        <v>1316</v>
      </c>
      <c r="C332" s="20" t="s">
        <v>1317</v>
      </c>
      <c r="D332" s="20" t="s">
        <v>1317</v>
      </c>
      <c r="E332" s="21"/>
      <c r="F332" s="20"/>
      <c r="G332" s="19" t="s">
        <v>1318</v>
      </c>
      <c r="H332" s="21" t="s">
        <v>1319</v>
      </c>
      <c r="I332" s="21" t="s">
        <v>16</v>
      </c>
      <c r="J332" s="20" t="s">
        <v>202</v>
      </c>
      <c r="K332" s="20" t="s">
        <v>1320</v>
      </c>
    </row>
    <row r="333" spans="1:11" ht="46" customHeight="1">
      <c r="A333" s="19">
        <v>329</v>
      </c>
      <c r="B333" s="19" t="s">
        <v>1316</v>
      </c>
      <c r="C333" s="20" t="s">
        <v>1317</v>
      </c>
      <c r="D333" s="20" t="s">
        <v>1317</v>
      </c>
      <c r="E333" s="21"/>
      <c r="F333" s="20"/>
      <c r="G333" s="19" t="s">
        <v>1321</v>
      </c>
      <c r="H333" s="21" t="s">
        <v>1322</v>
      </c>
      <c r="I333" s="21" t="s">
        <v>16</v>
      </c>
      <c r="J333" s="20" t="s">
        <v>1323</v>
      </c>
      <c r="K333" s="20" t="s">
        <v>1324</v>
      </c>
    </row>
    <row r="334" spans="1:11" ht="46" customHeight="1">
      <c r="A334" s="19">
        <v>330</v>
      </c>
      <c r="B334" s="19" t="s">
        <v>1316</v>
      </c>
      <c r="C334" s="20" t="s">
        <v>1317</v>
      </c>
      <c r="D334" s="20" t="s">
        <v>1317</v>
      </c>
      <c r="E334" s="21"/>
      <c r="F334" s="20"/>
      <c r="G334" s="19" t="s">
        <v>1325</v>
      </c>
      <c r="H334" s="21" t="s">
        <v>1326</v>
      </c>
      <c r="I334" s="21" t="s">
        <v>16</v>
      </c>
      <c r="J334" s="20" t="s">
        <v>1327</v>
      </c>
      <c r="K334" s="20" t="s">
        <v>1328</v>
      </c>
    </row>
    <row r="335" spans="1:11" ht="46" customHeight="1">
      <c r="A335" s="19">
        <v>331</v>
      </c>
      <c r="B335" s="19" t="s">
        <v>1316</v>
      </c>
      <c r="C335" s="20" t="s">
        <v>1317</v>
      </c>
      <c r="D335" s="20" t="s">
        <v>1317</v>
      </c>
      <c r="E335" s="21"/>
      <c r="F335" s="20"/>
      <c r="G335" s="19" t="s">
        <v>1329</v>
      </c>
      <c r="H335" s="21" t="s">
        <v>1330</v>
      </c>
      <c r="I335" s="21" t="s">
        <v>16</v>
      </c>
      <c r="J335" s="20" t="s">
        <v>1331</v>
      </c>
      <c r="K335" s="20" t="s">
        <v>1332</v>
      </c>
    </row>
    <row r="336" spans="1:11" ht="46" customHeight="1">
      <c r="A336" s="19">
        <v>332</v>
      </c>
      <c r="B336" s="19" t="s">
        <v>1316</v>
      </c>
      <c r="C336" s="20" t="s">
        <v>1317</v>
      </c>
      <c r="D336" s="20" t="s">
        <v>1317</v>
      </c>
      <c r="E336" s="21"/>
      <c r="F336" s="20"/>
      <c r="G336" s="19" t="s">
        <v>1333</v>
      </c>
      <c r="H336" s="21" t="s">
        <v>1334</v>
      </c>
      <c r="I336" s="21" t="s">
        <v>16</v>
      </c>
      <c r="J336" s="20" t="s">
        <v>1335</v>
      </c>
      <c r="K336" s="20" t="s">
        <v>1336</v>
      </c>
    </row>
    <row r="337" spans="1:11" ht="46" customHeight="1">
      <c r="A337" s="19">
        <v>333</v>
      </c>
      <c r="B337" s="19" t="s">
        <v>1316</v>
      </c>
      <c r="C337" s="20" t="s">
        <v>1317</v>
      </c>
      <c r="D337" s="20" t="s">
        <v>1317</v>
      </c>
      <c r="E337" s="21"/>
      <c r="F337" s="20"/>
      <c r="G337" s="19" t="s">
        <v>1337</v>
      </c>
      <c r="H337" s="21" t="s">
        <v>1338</v>
      </c>
      <c r="I337" s="21" t="s">
        <v>16</v>
      </c>
      <c r="J337" s="20" t="s">
        <v>218</v>
      </c>
      <c r="K337" s="20" t="s">
        <v>1339</v>
      </c>
    </row>
    <row r="338" spans="1:11" ht="46" customHeight="1">
      <c r="A338" s="19">
        <v>334</v>
      </c>
      <c r="B338" s="19" t="s">
        <v>1316</v>
      </c>
      <c r="C338" s="20" t="s">
        <v>1317</v>
      </c>
      <c r="D338" s="20" t="s">
        <v>1317</v>
      </c>
      <c r="E338" s="21"/>
      <c r="F338" s="20"/>
      <c r="G338" s="19" t="s">
        <v>1340</v>
      </c>
      <c r="H338" s="21" t="s">
        <v>1341</v>
      </c>
      <c r="I338" s="21" t="s">
        <v>16</v>
      </c>
      <c r="J338" s="20" t="s">
        <v>1130</v>
      </c>
      <c r="K338" s="20" t="s">
        <v>1342</v>
      </c>
    </row>
    <row r="339" spans="1:11" ht="46" customHeight="1">
      <c r="A339" s="19">
        <v>335</v>
      </c>
      <c r="B339" s="19" t="s">
        <v>1316</v>
      </c>
      <c r="C339" s="20" t="s">
        <v>1317</v>
      </c>
      <c r="D339" s="20" t="s">
        <v>1317</v>
      </c>
      <c r="E339" s="21"/>
      <c r="F339" s="20"/>
      <c r="G339" s="19" t="s">
        <v>1343</v>
      </c>
      <c r="H339" s="21" t="s">
        <v>1344</v>
      </c>
      <c r="I339" s="21" t="s">
        <v>16</v>
      </c>
      <c r="J339" s="20" t="s">
        <v>1130</v>
      </c>
      <c r="K339" s="20" t="s">
        <v>1345</v>
      </c>
    </row>
    <row r="340" spans="1:11" ht="46" customHeight="1">
      <c r="A340" s="19">
        <v>336</v>
      </c>
      <c r="B340" s="19" t="s">
        <v>1316</v>
      </c>
      <c r="C340" s="20" t="s">
        <v>1317</v>
      </c>
      <c r="D340" s="20" t="s">
        <v>1317</v>
      </c>
      <c r="E340" s="21"/>
      <c r="F340" s="20"/>
      <c r="G340" s="19" t="s">
        <v>1346</v>
      </c>
      <c r="H340" s="21" t="s">
        <v>1347</v>
      </c>
      <c r="I340" s="21" t="s">
        <v>16</v>
      </c>
      <c r="J340" s="20" t="s">
        <v>1348</v>
      </c>
      <c r="K340" s="20" t="s">
        <v>1349</v>
      </c>
    </row>
    <row r="341" spans="1:11" ht="46" customHeight="1">
      <c r="A341" s="19">
        <v>337</v>
      </c>
      <c r="B341" s="19" t="s">
        <v>1316</v>
      </c>
      <c r="C341" s="20" t="s">
        <v>1317</v>
      </c>
      <c r="D341" s="20" t="s">
        <v>1317</v>
      </c>
      <c r="E341" s="21"/>
      <c r="F341" s="20"/>
      <c r="G341" s="19" t="s">
        <v>1350</v>
      </c>
      <c r="H341" s="21" t="s">
        <v>1351</v>
      </c>
      <c r="I341" s="21" t="s">
        <v>16</v>
      </c>
      <c r="J341" s="20" t="s">
        <v>1352</v>
      </c>
      <c r="K341" s="20" t="s">
        <v>1353</v>
      </c>
    </row>
    <row r="342" spans="1:11" ht="46" customHeight="1">
      <c r="A342" s="19">
        <v>338</v>
      </c>
      <c r="B342" s="19" t="s">
        <v>1316</v>
      </c>
      <c r="C342" s="20" t="s">
        <v>1317</v>
      </c>
      <c r="D342" s="20" t="s">
        <v>1317</v>
      </c>
      <c r="E342" s="21"/>
      <c r="F342" s="20"/>
      <c r="G342" s="19" t="s">
        <v>1354</v>
      </c>
      <c r="H342" s="21" t="s">
        <v>1355</v>
      </c>
      <c r="I342" s="21" t="s">
        <v>16</v>
      </c>
      <c r="J342" s="20" t="s">
        <v>1356</v>
      </c>
      <c r="K342" s="20" t="s">
        <v>1357</v>
      </c>
    </row>
    <row r="343" spans="1:11" ht="46" customHeight="1">
      <c r="A343" s="19">
        <v>339</v>
      </c>
      <c r="B343" s="19" t="s">
        <v>1316</v>
      </c>
      <c r="C343" s="20" t="s">
        <v>1317</v>
      </c>
      <c r="D343" s="20" t="s">
        <v>1317</v>
      </c>
      <c r="E343" s="21"/>
      <c r="F343" s="20"/>
      <c r="G343" s="19" t="s">
        <v>1358</v>
      </c>
      <c r="H343" s="21" t="s">
        <v>1359</v>
      </c>
      <c r="I343" s="21" t="s">
        <v>16</v>
      </c>
      <c r="J343" s="20" t="s">
        <v>1360</v>
      </c>
      <c r="K343" s="20" t="s">
        <v>1361</v>
      </c>
    </row>
    <row r="344" spans="1:11" ht="46" customHeight="1">
      <c r="A344" s="19">
        <v>340</v>
      </c>
      <c r="B344" s="19" t="s">
        <v>1316</v>
      </c>
      <c r="C344" s="20" t="s">
        <v>1317</v>
      </c>
      <c r="D344" s="20" t="s">
        <v>1317</v>
      </c>
      <c r="E344" s="21"/>
      <c r="F344" s="20"/>
      <c r="G344" s="19" t="s">
        <v>1362</v>
      </c>
      <c r="H344" s="21" t="s">
        <v>1363</v>
      </c>
      <c r="I344" s="21" t="s">
        <v>16</v>
      </c>
      <c r="J344" s="20" t="s">
        <v>206</v>
      </c>
      <c r="K344" s="20" t="s">
        <v>1364</v>
      </c>
    </row>
    <row r="345" spans="1:11" ht="46" customHeight="1">
      <c r="A345" s="19">
        <v>341</v>
      </c>
      <c r="B345" s="19" t="s">
        <v>1316</v>
      </c>
      <c r="C345" s="20" t="s">
        <v>1317</v>
      </c>
      <c r="D345" s="20" t="s">
        <v>1317</v>
      </c>
      <c r="E345" s="21"/>
      <c r="F345" s="20"/>
      <c r="G345" s="19" t="s">
        <v>1365</v>
      </c>
      <c r="H345" s="21" t="s">
        <v>1366</v>
      </c>
      <c r="I345" s="21" t="s">
        <v>16</v>
      </c>
      <c r="J345" s="20" t="s">
        <v>1327</v>
      </c>
      <c r="K345" s="20" t="s">
        <v>1367</v>
      </c>
    </row>
    <row r="346" spans="1:11" ht="46" customHeight="1">
      <c r="A346" s="19">
        <v>342</v>
      </c>
      <c r="B346" s="19" t="s">
        <v>1316</v>
      </c>
      <c r="C346" s="20" t="s">
        <v>1317</v>
      </c>
      <c r="D346" s="20" t="s">
        <v>1317</v>
      </c>
      <c r="E346" s="21"/>
      <c r="F346" s="20"/>
      <c r="G346" s="19" t="s">
        <v>1368</v>
      </c>
      <c r="H346" s="21" t="s">
        <v>1369</v>
      </c>
      <c r="I346" s="21" t="s">
        <v>16</v>
      </c>
      <c r="J346" s="20" t="s">
        <v>93</v>
      </c>
      <c r="K346" s="20" t="s">
        <v>1370</v>
      </c>
    </row>
    <row r="347" spans="1:11" ht="46" customHeight="1">
      <c r="A347" s="19">
        <v>343</v>
      </c>
      <c r="B347" s="19" t="s">
        <v>1316</v>
      </c>
      <c r="C347" s="20" t="s">
        <v>1317</v>
      </c>
      <c r="D347" s="20" t="s">
        <v>1317</v>
      </c>
      <c r="E347" s="21"/>
      <c r="F347" s="20"/>
      <c r="G347" s="19" t="s">
        <v>1371</v>
      </c>
      <c r="H347" s="21" t="s">
        <v>1372</v>
      </c>
      <c r="I347" s="21" t="s">
        <v>16</v>
      </c>
      <c r="J347" s="20" t="s">
        <v>1373</v>
      </c>
      <c r="K347" s="20" t="s">
        <v>1374</v>
      </c>
    </row>
    <row r="348" spans="1:11" ht="46" customHeight="1">
      <c r="A348" s="19">
        <v>344</v>
      </c>
      <c r="B348" s="19" t="s">
        <v>1316</v>
      </c>
      <c r="C348" s="20" t="s">
        <v>1317</v>
      </c>
      <c r="D348" s="20" t="s">
        <v>1317</v>
      </c>
      <c r="E348" s="21"/>
      <c r="F348" s="20"/>
      <c r="G348" s="19" t="s">
        <v>1375</v>
      </c>
      <c r="H348" s="21" t="s">
        <v>1376</v>
      </c>
      <c r="I348" s="21" t="s">
        <v>16</v>
      </c>
      <c r="J348" s="20" t="s">
        <v>308</v>
      </c>
      <c r="K348" s="20" t="s">
        <v>1377</v>
      </c>
    </row>
    <row r="349" spans="1:11" ht="46" customHeight="1">
      <c r="A349" s="19">
        <v>345</v>
      </c>
      <c r="B349" s="19" t="s">
        <v>1316</v>
      </c>
      <c r="C349" s="20" t="s">
        <v>1317</v>
      </c>
      <c r="D349" s="20" t="s">
        <v>1317</v>
      </c>
      <c r="E349" s="21"/>
      <c r="F349" s="20"/>
      <c r="G349" s="19" t="s">
        <v>1378</v>
      </c>
      <c r="H349" s="21" t="s">
        <v>1379</v>
      </c>
      <c r="I349" s="21" t="s">
        <v>16</v>
      </c>
      <c r="J349" s="20" t="s">
        <v>1380</v>
      </c>
      <c r="K349" s="20" t="s">
        <v>1381</v>
      </c>
    </row>
    <row r="350" spans="1:11" ht="46" customHeight="1">
      <c r="A350" s="19">
        <v>346</v>
      </c>
      <c r="B350" s="19" t="s">
        <v>1316</v>
      </c>
      <c r="C350" s="20" t="s">
        <v>1317</v>
      </c>
      <c r="D350" s="20" t="s">
        <v>1317</v>
      </c>
      <c r="E350" s="21"/>
      <c r="F350" s="20"/>
      <c r="G350" s="19" t="s">
        <v>1382</v>
      </c>
      <c r="H350" s="21" t="s">
        <v>1383</v>
      </c>
      <c r="I350" s="21" t="s">
        <v>16</v>
      </c>
      <c r="J350" s="20" t="s">
        <v>70</v>
      </c>
      <c r="K350" s="20" t="s">
        <v>1384</v>
      </c>
    </row>
    <row r="351" spans="1:11" ht="46" customHeight="1">
      <c r="A351" s="19">
        <v>347</v>
      </c>
      <c r="B351" s="19" t="s">
        <v>1316</v>
      </c>
      <c r="C351" s="20" t="s">
        <v>1317</v>
      </c>
      <c r="D351" s="20" t="s">
        <v>1317</v>
      </c>
      <c r="E351" s="21"/>
      <c r="F351" s="20"/>
      <c r="G351" s="19" t="s">
        <v>1385</v>
      </c>
      <c r="H351" s="21" t="s">
        <v>1386</v>
      </c>
      <c r="I351" s="21" t="s">
        <v>16</v>
      </c>
      <c r="J351" s="20" t="s">
        <v>1387</v>
      </c>
      <c r="K351" s="20" t="s">
        <v>1388</v>
      </c>
    </row>
    <row r="352" spans="1:11" ht="46" customHeight="1">
      <c r="A352" s="19">
        <v>348</v>
      </c>
      <c r="B352" s="19" t="s">
        <v>1316</v>
      </c>
      <c r="C352" s="20" t="s">
        <v>1317</v>
      </c>
      <c r="D352" s="20" t="s">
        <v>1317</v>
      </c>
      <c r="E352" s="21"/>
      <c r="F352" s="20"/>
      <c r="G352" s="19" t="s">
        <v>1389</v>
      </c>
      <c r="H352" s="21" t="s">
        <v>1390</v>
      </c>
      <c r="I352" s="21" t="s">
        <v>24</v>
      </c>
      <c r="J352" s="20" t="s">
        <v>1188</v>
      </c>
      <c r="K352" s="20" t="s">
        <v>1391</v>
      </c>
    </row>
    <row r="353" spans="1:11" ht="46" customHeight="1">
      <c r="A353" s="19">
        <v>349</v>
      </c>
      <c r="B353" s="19" t="s">
        <v>1316</v>
      </c>
      <c r="C353" s="20" t="s">
        <v>1317</v>
      </c>
      <c r="D353" s="20" t="s">
        <v>1317</v>
      </c>
      <c r="E353" s="21"/>
      <c r="F353" s="20"/>
      <c r="G353" s="19" t="s">
        <v>1392</v>
      </c>
      <c r="H353" s="21" t="s">
        <v>1393</v>
      </c>
      <c r="I353" s="21" t="s">
        <v>16</v>
      </c>
      <c r="J353" s="20" t="s">
        <v>1394</v>
      </c>
      <c r="K353" s="20" t="s">
        <v>1395</v>
      </c>
    </row>
    <row r="354" spans="1:11" ht="46" customHeight="1">
      <c r="A354" s="19">
        <v>350</v>
      </c>
      <c r="B354" s="19" t="s">
        <v>1316</v>
      </c>
      <c r="C354" s="20" t="s">
        <v>1317</v>
      </c>
      <c r="D354" s="20" t="s">
        <v>1317</v>
      </c>
      <c r="E354" s="21"/>
      <c r="F354" s="20"/>
      <c r="G354" s="19" t="s">
        <v>1396</v>
      </c>
      <c r="H354" s="21" t="s">
        <v>1397</v>
      </c>
      <c r="I354" s="21" t="s">
        <v>16</v>
      </c>
      <c r="J354" s="20" t="s">
        <v>1398</v>
      </c>
      <c r="K354" s="20" t="s">
        <v>1399</v>
      </c>
    </row>
    <row r="355" spans="1:11" ht="46" customHeight="1">
      <c r="A355" s="19">
        <v>351</v>
      </c>
      <c r="B355" s="19" t="s">
        <v>1316</v>
      </c>
      <c r="C355" s="20" t="s">
        <v>1317</v>
      </c>
      <c r="D355" s="20" t="s">
        <v>1317</v>
      </c>
      <c r="E355" s="21"/>
      <c r="F355" s="20"/>
      <c r="G355" s="19" t="s">
        <v>1400</v>
      </c>
      <c r="H355" s="21" t="s">
        <v>1401</v>
      </c>
      <c r="I355" s="21" t="s">
        <v>16</v>
      </c>
      <c r="J355" s="20" t="s">
        <v>1402</v>
      </c>
      <c r="K355" s="20" t="s">
        <v>1403</v>
      </c>
    </row>
    <row r="356" spans="1:11" ht="46" customHeight="1">
      <c r="A356" s="19">
        <v>352</v>
      </c>
      <c r="B356" s="19" t="s">
        <v>1404</v>
      </c>
      <c r="C356" s="20" t="s">
        <v>1405</v>
      </c>
      <c r="D356" s="20" t="s">
        <v>1405</v>
      </c>
      <c r="E356" s="21"/>
      <c r="F356" s="20"/>
      <c r="G356" s="19" t="s">
        <v>1406</v>
      </c>
      <c r="H356" s="21" t="s">
        <v>1407</v>
      </c>
      <c r="I356" s="21" t="s">
        <v>16</v>
      </c>
      <c r="J356" s="20" t="s">
        <v>1408</v>
      </c>
      <c r="K356" s="20" t="s">
        <v>1409</v>
      </c>
    </row>
    <row r="357" spans="1:11" ht="46" customHeight="1">
      <c r="A357" s="19">
        <v>353</v>
      </c>
      <c r="B357" s="19" t="s">
        <v>1404</v>
      </c>
      <c r="C357" s="20" t="s">
        <v>1405</v>
      </c>
      <c r="D357" s="20" t="s">
        <v>1405</v>
      </c>
      <c r="E357" s="21"/>
      <c r="F357" s="20"/>
      <c r="G357" s="19" t="s">
        <v>1410</v>
      </c>
      <c r="H357" s="21" t="s">
        <v>1411</v>
      </c>
      <c r="I357" s="21" t="s">
        <v>16</v>
      </c>
      <c r="J357" s="20" t="s">
        <v>1412</v>
      </c>
      <c r="K357" s="20" t="s">
        <v>1413</v>
      </c>
    </row>
    <row r="358" spans="1:11" ht="46" customHeight="1">
      <c r="A358" s="19">
        <v>354</v>
      </c>
      <c r="B358" s="19" t="s">
        <v>1404</v>
      </c>
      <c r="C358" s="20" t="s">
        <v>1405</v>
      </c>
      <c r="D358" s="20" t="s">
        <v>1405</v>
      </c>
      <c r="E358" s="21"/>
      <c r="F358" s="20"/>
      <c r="G358" s="19" t="s">
        <v>1414</v>
      </c>
      <c r="H358" s="21" t="s">
        <v>1415</v>
      </c>
      <c r="I358" s="21" t="s">
        <v>16</v>
      </c>
      <c r="J358" s="20" t="s">
        <v>1416</v>
      </c>
      <c r="K358" s="20" t="s">
        <v>1417</v>
      </c>
    </row>
    <row r="359" spans="1:11" ht="46" customHeight="1">
      <c r="A359" s="19">
        <v>355</v>
      </c>
      <c r="B359" s="19" t="s">
        <v>1404</v>
      </c>
      <c r="C359" s="20" t="s">
        <v>1405</v>
      </c>
      <c r="D359" s="20" t="s">
        <v>1405</v>
      </c>
      <c r="E359" s="21"/>
      <c r="F359" s="20"/>
      <c r="G359" s="19" t="s">
        <v>1418</v>
      </c>
      <c r="H359" s="21" t="s">
        <v>1419</v>
      </c>
      <c r="I359" s="21" t="s">
        <v>16</v>
      </c>
      <c r="J359" s="20" t="s">
        <v>1420</v>
      </c>
      <c r="K359" s="20" t="s">
        <v>1421</v>
      </c>
    </row>
    <row r="360" spans="1:11" ht="46" customHeight="1">
      <c r="A360" s="19">
        <v>356</v>
      </c>
      <c r="B360" s="19" t="s">
        <v>1404</v>
      </c>
      <c r="C360" s="20" t="s">
        <v>1405</v>
      </c>
      <c r="D360" s="20" t="s">
        <v>1405</v>
      </c>
      <c r="E360" s="21"/>
      <c r="F360" s="20"/>
      <c r="G360" s="19" t="s">
        <v>1422</v>
      </c>
      <c r="H360" s="21" t="s">
        <v>1423</v>
      </c>
      <c r="I360" s="21" t="s">
        <v>16</v>
      </c>
      <c r="J360" s="20" t="s">
        <v>1424</v>
      </c>
      <c r="K360" s="20" t="s">
        <v>1425</v>
      </c>
    </row>
    <row r="361" spans="1:11" ht="46" customHeight="1">
      <c r="A361" s="19">
        <v>357</v>
      </c>
      <c r="B361" s="19" t="s">
        <v>1404</v>
      </c>
      <c r="C361" s="20" t="s">
        <v>1405</v>
      </c>
      <c r="D361" s="20" t="s">
        <v>1405</v>
      </c>
      <c r="E361" s="21"/>
      <c r="F361" s="20"/>
      <c r="G361" s="19" t="s">
        <v>1426</v>
      </c>
      <c r="H361" s="21" t="s">
        <v>1427</v>
      </c>
      <c r="I361" s="21" t="s">
        <v>16</v>
      </c>
      <c r="J361" s="20" t="s">
        <v>1428</v>
      </c>
      <c r="K361" s="20" t="s">
        <v>1429</v>
      </c>
    </row>
    <row r="362" spans="1:11" ht="46" customHeight="1">
      <c r="A362" s="19">
        <v>358</v>
      </c>
      <c r="B362" s="19" t="s">
        <v>1404</v>
      </c>
      <c r="C362" s="20" t="s">
        <v>1405</v>
      </c>
      <c r="D362" s="20" t="s">
        <v>1405</v>
      </c>
      <c r="E362" s="21"/>
      <c r="F362" s="20"/>
      <c r="G362" s="19" t="s">
        <v>1430</v>
      </c>
      <c r="H362" s="21" t="s">
        <v>1431</v>
      </c>
      <c r="I362" s="21" t="s">
        <v>16</v>
      </c>
      <c r="J362" s="20" t="s">
        <v>1432</v>
      </c>
      <c r="K362" s="20" t="s">
        <v>1433</v>
      </c>
    </row>
    <row r="363" spans="1:11" ht="46" customHeight="1">
      <c r="A363" s="19">
        <v>359</v>
      </c>
      <c r="B363" s="19" t="s">
        <v>1404</v>
      </c>
      <c r="C363" s="20" t="s">
        <v>1405</v>
      </c>
      <c r="D363" s="20" t="s">
        <v>1405</v>
      </c>
      <c r="E363" s="21"/>
      <c r="F363" s="20"/>
      <c r="G363" s="19" t="s">
        <v>1434</v>
      </c>
      <c r="H363" s="21" t="s">
        <v>1435</v>
      </c>
      <c r="I363" s="21" t="s">
        <v>16</v>
      </c>
      <c r="J363" s="20" t="s">
        <v>1436</v>
      </c>
      <c r="K363" s="20" t="s">
        <v>1437</v>
      </c>
    </row>
    <row r="364" spans="1:11" ht="46" customHeight="1">
      <c r="A364" s="19">
        <v>360</v>
      </c>
      <c r="B364" s="19" t="s">
        <v>1404</v>
      </c>
      <c r="C364" s="20" t="s">
        <v>1405</v>
      </c>
      <c r="D364" s="20" t="s">
        <v>1405</v>
      </c>
      <c r="E364" s="21"/>
      <c r="F364" s="20"/>
      <c r="G364" s="19" t="s">
        <v>1438</v>
      </c>
      <c r="H364" s="21" t="s">
        <v>1439</v>
      </c>
      <c r="I364" s="21" t="s">
        <v>24</v>
      </c>
      <c r="J364" s="20" t="s">
        <v>1440</v>
      </c>
      <c r="K364" s="20" t="s">
        <v>1441</v>
      </c>
    </row>
    <row r="365" spans="1:11" ht="46" customHeight="1">
      <c r="A365" s="19">
        <v>361</v>
      </c>
      <c r="B365" s="19" t="s">
        <v>1404</v>
      </c>
      <c r="C365" s="20" t="s">
        <v>1405</v>
      </c>
      <c r="D365" s="20" t="s">
        <v>1405</v>
      </c>
      <c r="E365" s="21"/>
      <c r="F365" s="20"/>
      <c r="G365" s="19" t="s">
        <v>1442</v>
      </c>
      <c r="H365" s="21" t="s">
        <v>1443</v>
      </c>
      <c r="I365" s="21" t="s">
        <v>24</v>
      </c>
      <c r="J365" s="20" t="s">
        <v>1444</v>
      </c>
      <c r="K365" s="20" t="s">
        <v>1445</v>
      </c>
    </row>
    <row r="366" spans="1:11" ht="46" customHeight="1">
      <c r="A366" s="19">
        <v>362</v>
      </c>
      <c r="B366" s="19" t="s">
        <v>1404</v>
      </c>
      <c r="C366" s="20" t="s">
        <v>1405</v>
      </c>
      <c r="D366" s="20" t="s">
        <v>1405</v>
      </c>
      <c r="E366" s="21"/>
      <c r="F366" s="20"/>
      <c r="G366" s="19" t="s">
        <v>1446</v>
      </c>
      <c r="H366" s="21" t="s">
        <v>1447</v>
      </c>
      <c r="I366" s="21" t="s">
        <v>24</v>
      </c>
      <c r="J366" s="20" t="s">
        <v>229</v>
      </c>
      <c r="K366" s="20" t="s">
        <v>1448</v>
      </c>
    </row>
    <row r="367" spans="1:11" ht="46" customHeight="1">
      <c r="A367" s="19">
        <v>363</v>
      </c>
      <c r="B367" s="19" t="s">
        <v>1404</v>
      </c>
      <c r="C367" s="20" t="s">
        <v>1405</v>
      </c>
      <c r="D367" s="20" t="s">
        <v>1405</v>
      </c>
      <c r="E367" s="21"/>
      <c r="F367" s="20"/>
      <c r="G367" s="19" t="s">
        <v>1449</v>
      </c>
      <c r="H367" s="21" t="s">
        <v>1450</v>
      </c>
      <c r="I367" s="21" t="s">
        <v>16</v>
      </c>
      <c r="J367" s="20" t="s">
        <v>1451</v>
      </c>
      <c r="K367" s="20" t="s">
        <v>1452</v>
      </c>
    </row>
    <row r="368" spans="1:11" ht="46" customHeight="1">
      <c r="A368" s="19">
        <v>364</v>
      </c>
      <c r="B368" s="19" t="s">
        <v>1404</v>
      </c>
      <c r="C368" s="20" t="s">
        <v>1405</v>
      </c>
      <c r="D368" s="20" t="s">
        <v>1405</v>
      </c>
      <c r="E368" s="21"/>
      <c r="F368" s="20"/>
      <c r="G368" s="19" t="s">
        <v>1453</v>
      </c>
      <c r="H368" s="21" t="s">
        <v>1454</v>
      </c>
      <c r="I368" s="21" t="s">
        <v>24</v>
      </c>
      <c r="J368" s="20" t="s">
        <v>1455</v>
      </c>
      <c r="K368" s="20" t="s">
        <v>1456</v>
      </c>
    </row>
    <row r="369" spans="1:11" ht="46" customHeight="1">
      <c r="A369" s="19">
        <v>365</v>
      </c>
      <c r="B369" s="19" t="s">
        <v>1404</v>
      </c>
      <c r="C369" s="20" t="s">
        <v>1405</v>
      </c>
      <c r="D369" s="20" t="s">
        <v>1405</v>
      </c>
      <c r="E369" s="21"/>
      <c r="F369" s="20"/>
      <c r="G369" s="19" t="s">
        <v>1457</v>
      </c>
      <c r="H369" s="21" t="s">
        <v>1458</v>
      </c>
      <c r="I369" s="21" t="s">
        <v>16</v>
      </c>
      <c r="J369" s="20" t="s">
        <v>1459</v>
      </c>
      <c r="K369" s="20" t="s">
        <v>1460</v>
      </c>
    </row>
    <row r="370" spans="1:11" ht="46" customHeight="1">
      <c r="A370" s="19">
        <v>366</v>
      </c>
      <c r="B370" s="19" t="s">
        <v>1404</v>
      </c>
      <c r="C370" s="20" t="s">
        <v>1405</v>
      </c>
      <c r="D370" s="20" t="s">
        <v>1405</v>
      </c>
      <c r="E370" s="21"/>
      <c r="F370" s="20"/>
      <c r="G370" s="19" t="s">
        <v>1461</v>
      </c>
      <c r="H370" s="21" t="s">
        <v>1462</v>
      </c>
      <c r="I370" s="21" t="s">
        <v>16</v>
      </c>
      <c r="J370" s="20" t="s">
        <v>1463</v>
      </c>
      <c r="K370" s="20" t="s">
        <v>1464</v>
      </c>
    </row>
    <row r="371" spans="1:11" ht="46" customHeight="1">
      <c r="A371" s="19">
        <v>367</v>
      </c>
      <c r="B371" s="19" t="s">
        <v>1404</v>
      </c>
      <c r="C371" s="20" t="s">
        <v>1405</v>
      </c>
      <c r="D371" s="20" t="s">
        <v>1405</v>
      </c>
      <c r="E371" s="21"/>
      <c r="F371" s="20"/>
      <c r="G371" s="19" t="s">
        <v>1465</v>
      </c>
      <c r="H371" s="21" t="s">
        <v>1466</v>
      </c>
      <c r="I371" s="21" t="s">
        <v>24</v>
      </c>
      <c r="J371" s="20" t="s">
        <v>1463</v>
      </c>
      <c r="K371" s="20" t="s">
        <v>1467</v>
      </c>
    </row>
    <row r="372" spans="1:11" ht="46" customHeight="1">
      <c r="A372" s="19">
        <v>368</v>
      </c>
      <c r="B372" s="19" t="s">
        <v>1404</v>
      </c>
      <c r="C372" s="20" t="s">
        <v>1405</v>
      </c>
      <c r="D372" s="20" t="s">
        <v>1405</v>
      </c>
      <c r="E372" s="21"/>
      <c r="F372" s="20"/>
      <c r="G372" s="19" t="s">
        <v>1468</v>
      </c>
      <c r="H372" s="21" t="s">
        <v>1469</v>
      </c>
      <c r="I372" s="21" t="s">
        <v>24</v>
      </c>
      <c r="J372" s="20" t="s">
        <v>1470</v>
      </c>
      <c r="K372" s="20" t="s">
        <v>1471</v>
      </c>
    </row>
    <row r="373" spans="1:11" ht="46" customHeight="1">
      <c r="A373" s="19">
        <v>369</v>
      </c>
      <c r="B373" s="19" t="s">
        <v>1404</v>
      </c>
      <c r="C373" s="20" t="s">
        <v>1405</v>
      </c>
      <c r="D373" s="20" t="s">
        <v>1405</v>
      </c>
      <c r="E373" s="21"/>
      <c r="F373" s="20"/>
      <c r="G373" s="19" t="s">
        <v>1472</v>
      </c>
      <c r="H373" s="21" t="s">
        <v>1473</v>
      </c>
      <c r="I373" s="21" t="s">
        <v>16</v>
      </c>
      <c r="J373" s="20" t="s">
        <v>1474</v>
      </c>
      <c r="K373" s="20" t="s">
        <v>1475</v>
      </c>
    </row>
    <row r="374" spans="1:11" ht="46" customHeight="1">
      <c r="A374" s="19">
        <v>370</v>
      </c>
      <c r="B374" s="19" t="s">
        <v>1404</v>
      </c>
      <c r="C374" s="20" t="s">
        <v>1405</v>
      </c>
      <c r="D374" s="20" t="s">
        <v>1405</v>
      </c>
      <c r="E374" s="21"/>
      <c r="F374" s="20"/>
      <c r="G374" s="19" t="s">
        <v>1476</v>
      </c>
      <c r="H374" s="21" t="s">
        <v>1477</v>
      </c>
      <c r="I374" s="21" t="s">
        <v>16</v>
      </c>
      <c r="J374" s="20" t="s">
        <v>1478</v>
      </c>
      <c r="K374" s="20" t="s">
        <v>1479</v>
      </c>
    </row>
    <row r="375" spans="1:11" ht="46" customHeight="1">
      <c r="A375" s="19">
        <v>371</v>
      </c>
      <c r="B375" s="19" t="s">
        <v>1404</v>
      </c>
      <c r="C375" s="20" t="s">
        <v>1405</v>
      </c>
      <c r="D375" s="20" t="s">
        <v>1405</v>
      </c>
      <c r="E375" s="21"/>
      <c r="F375" s="20"/>
      <c r="G375" s="19" t="s">
        <v>1480</v>
      </c>
      <c r="H375" s="21" t="s">
        <v>1481</v>
      </c>
      <c r="I375" s="21" t="s">
        <v>16</v>
      </c>
      <c r="J375" s="20" t="s">
        <v>1482</v>
      </c>
      <c r="K375" s="20" t="s">
        <v>1483</v>
      </c>
    </row>
    <row r="376" spans="1:11" ht="46" customHeight="1">
      <c r="A376" s="19">
        <v>372</v>
      </c>
      <c r="B376" s="19" t="s">
        <v>1404</v>
      </c>
      <c r="C376" s="20" t="s">
        <v>1405</v>
      </c>
      <c r="D376" s="20" t="s">
        <v>1405</v>
      </c>
      <c r="E376" s="21"/>
      <c r="F376" s="20"/>
      <c r="G376" s="19" t="s">
        <v>1484</v>
      </c>
      <c r="H376" s="21" t="s">
        <v>1485</v>
      </c>
      <c r="I376" s="21" t="s">
        <v>16</v>
      </c>
      <c r="J376" s="20" t="s">
        <v>1486</v>
      </c>
      <c r="K376" s="20" t="s">
        <v>1487</v>
      </c>
    </row>
    <row r="377" spans="1:11" ht="46" customHeight="1">
      <c r="A377" s="19">
        <v>373</v>
      </c>
      <c r="B377" s="19" t="s">
        <v>1404</v>
      </c>
      <c r="C377" s="20" t="s">
        <v>1405</v>
      </c>
      <c r="D377" s="20" t="s">
        <v>1405</v>
      </c>
      <c r="E377" s="21"/>
      <c r="F377" s="20"/>
      <c r="G377" s="19" t="s">
        <v>1488</v>
      </c>
      <c r="H377" s="21" t="s">
        <v>1489</v>
      </c>
      <c r="I377" s="21" t="s">
        <v>24</v>
      </c>
      <c r="J377" s="20" t="s">
        <v>1490</v>
      </c>
      <c r="K377" s="20" t="s">
        <v>1491</v>
      </c>
    </row>
    <row r="378" spans="1:11" ht="46" customHeight="1">
      <c r="A378" s="19">
        <v>374</v>
      </c>
      <c r="B378" s="19" t="s">
        <v>1404</v>
      </c>
      <c r="C378" s="20" t="s">
        <v>1405</v>
      </c>
      <c r="D378" s="20" t="s">
        <v>1405</v>
      </c>
      <c r="E378" s="21"/>
      <c r="F378" s="20"/>
      <c r="G378" s="19" t="s">
        <v>1492</v>
      </c>
      <c r="H378" s="21" t="s">
        <v>1493</v>
      </c>
      <c r="I378" s="21" t="s">
        <v>24</v>
      </c>
      <c r="J378" s="20" t="s">
        <v>1494</v>
      </c>
      <c r="K378" s="20" t="s">
        <v>1495</v>
      </c>
    </row>
    <row r="379" spans="1:11" ht="46" customHeight="1">
      <c r="A379" s="19">
        <v>375</v>
      </c>
      <c r="B379" s="19" t="s">
        <v>1404</v>
      </c>
      <c r="C379" s="20" t="s">
        <v>1405</v>
      </c>
      <c r="D379" s="20" t="s">
        <v>1405</v>
      </c>
      <c r="E379" s="21"/>
      <c r="F379" s="20"/>
      <c r="G379" s="19" t="s">
        <v>1496</v>
      </c>
      <c r="H379" s="21" t="s">
        <v>1497</v>
      </c>
      <c r="I379" s="21" t="s">
        <v>24</v>
      </c>
      <c r="J379" s="20" t="s">
        <v>1498</v>
      </c>
      <c r="K379" s="20" t="s">
        <v>1499</v>
      </c>
    </row>
    <row r="380" spans="1:11" ht="46" customHeight="1">
      <c r="A380" s="19">
        <v>376</v>
      </c>
      <c r="B380" s="19" t="s">
        <v>1404</v>
      </c>
      <c r="C380" s="20" t="s">
        <v>1405</v>
      </c>
      <c r="D380" s="20" t="s">
        <v>1405</v>
      </c>
      <c r="E380" s="21"/>
      <c r="F380" s="20"/>
      <c r="G380" s="19" t="s">
        <v>1500</v>
      </c>
      <c r="H380" s="21" t="s">
        <v>1501</v>
      </c>
      <c r="I380" s="21" t="s">
        <v>24</v>
      </c>
      <c r="J380" s="20" t="s">
        <v>1502</v>
      </c>
      <c r="K380" s="20" t="s">
        <v>1503</v>
      </c>
    </row>
    <row r="381" spans="1:11" ht="46" customHeight="1">
      <c r="A381" s="19">
        <v>377</v>
      </c>
      <c r="B381" s="19" t="s">
        <v>1404</v>
      </c>
      <c r="C381" s="20" t="s">
        <v>1405</v>
      </c>
      <c r="D381" s="20" t="s">
        <v>1405</v>
      </c>
      <c r="E381" s="21"/>
      <c r="F381" s="20"/>
      <c r="G381" s="19" t="s">
        <v>1504</v>
      </c>
      <c r="H381" s="21" t="s">
        <v>1505</v>
      </c>
      <c r="I381" s="21" t="s">
        <v>24</v>
      </c>
      <c r="J381" s="20" t="s">
        <v>1506</v>
      </c>
      <c r="K381" s="20" t="s">
        <v>1507</v>
      </c>
    </row>
    <row r="382" spans="1:11" ht="46" customHeight="1">
      <c r="A382" s="19">
        <v>378</v>
      </c>
      <c r="B382" s="19" t="s">
        <v>1404</v>
      </c>
      <c r="C382" s="20" t="s">
        <v>1405</v>
      </c>
      <c r="D382" s="20" t="s">
        <v>1405</v>
      </c>
      <c r="E382" s="21"/>
      <c r="F382" s="20"/>
      <c r="G382" s="19" t="s">
        <v>1508</v>
      </c>
      <c r="H382" s="21" t="s">
        <v>1509</v>
      </c>
      <c r="I382" s="21" t="s">
        <v>16</v>
      </c>
      <c r="J382" s="20" t="s">
        <v>1510</v>
      </c>
      <c r="K382" s="20" t="s">
        <v>1511</v>
      </c>
    </row>
    <row r="383" spans="1:11" ht="46" customHeight="1">
      <c r="A383" s="19">
        <v>379</v>
      </c>
      <c r="B383" s="19" t="s">
        <v>1404</v>
      </c>
      <c r="C383" s="20" t="s">
        <v>1405</v>
      </c>
      <c r="D383" s="20" t="s">
        <v>1405</v>
      </c>
      <c r="E383" s="21"/>
      <c r="F383" s="20"/>
      <c r="G383" s="19" t="s">
        <v>1512</v>
      </c>
      <c r="H383" s="21" t="s">
        <v>1513</v>
      </c>
      <c r="I383" s="21" t="s">
        <v>24</v>
      </c>
      <c r="J383" s="20" t="s">
        <v>1514</v>
      </c>
      <c r="K383" s="20" t="s">
        <v>1515</v>
      </c>
    </row>
    <row r="384" spans="1:11" ht="46" customHeight="1">
      <c r="A384" s="19">
        <v>380</v>
      </c>
      <c r="B384" s="19" t="s">
        <v>1404</v>
      </c>
      <c r="C384" s="20" t="s">
        <v>1405</v>
      </c>
      <c r="D384" s="20" t="s">
        <v>1405</v>
      </c>
      <c r="E384" s="21"/>
      <c r="F384" s="20"/>
      <c r="G384" s="19" t="s">
        <v>1516</v>
      </c>
      <c r="H384" s="21" t="s">
        <v>1517</v>
      </c>
      <c r="I384" s="21" t="s">
        <v>16</v>
      </c>
      <c r="J384" s="20" t="s">
        <v>498</v>
      </c>
      <c r="K384" s="20" t="s">
        <v>1518</v>
      </c>
    </row>
    <row r="385" spans="1:11" ht="46" customHeight="1">
      <c r="A385" s="19">
        <v>381</v>
      </c>
      <c r="B385" s="19" t="s">
        <v>1519</v>
      </c>
      <c r="C385" s="20" t="s">
        <v>1520</v>
      </c>
      <c r="D385" s="20" t="s">
        <v>1520</v>
      </c>
      <c r="E385" s="21"/>
      <c r="F385" s="20"/>
      <c r="G385" s="19" t="s">
        <v>1521</v>
      </c>
      <c r="H385" s="21" t="s">
        <v>1522</v>
      </c>
      <c r="I385" s="21" t="s">
        <v>16</v>
      </c>
      <c r="J385" s="20" t="s">
        <v>1523</v>
      </c>
      <c r="K385" s="20" t="s">
        <v>1524</v>
      </c>
    </row>
    <row r="386" spans="1:11" ht="46" customHeight="1">
      <c r="A386" s="19">
        <v>382</v>
      </c>
      <c r="B386" s="19" t="s">
        <v>1519</v>
      </c>
      <c r="C386" s="20" t="s">
        <v>1520</v>
      </c>
      <c r="D386" s="20" t="s">
        <v>1520</v>
      </c>
      <c r="E386" s="21"/>
      <c r="F386" s="20"/>
      <c r="G386" s="19" t="s">
        <v>1525</v>
      </c>
      <c r="H386" s="21" t="s">
        <v>1526</v>
      </c>
      <c r="I386" s="21" t="s">
        <v>16</v>
      </c>
      <c r="J386" s="20" t="s">
        <v>1527</v>
      </c>
      <c r="K386" s="20" t="s">
        <v>1528</v>
      </c>
    </row>
    <row r="387" spans="1:11" ht="46" customHeight="1">
      <c r="A387" s="19">
        <v>383</v>
      </c>
      <c r="B387" s="19" t="s">
        <v>1519</v>
      </c>
      <c r="C387" s="20" t="s">
        <v>1520</v>
      </c>
      <c r="D387" s="20" t="s">
        <v>1520</v>
      </c>
      <c r="E387" s="21"/>
      <c r="F387" s="20"/>
      <c r="G387" s="19" t="s">
        <v>1529</v>
      </c>
      <c r="H387" s="21" t="s">
        <v>1530</v>
      </c>
      <c r="I387" s="21" t="s">
        <v>16</v>
      </c>
      <c r="J387" s="20" t="s">
        <v>1531</v>
      </c>
      <c r="K387" s="20" t="s">
        <v>1532</v>
      </c>
    </row>
    <row r="388" spans="1:11" ht="46" customHeight="1">
      <c r="A388" s="19">
        <v>384</v>
      </c>
      <c r="B388" s="19" t="s">
        <v>1519</v>
      </c>
      <c r="C388" s="20" t="s">
        <v>1520</v>
      </c>
      <c r="D388" s="20" t="s">
        <v>1520</v>
      </c>
      <c r="E388" s="21"/>
      <c r="F388" s="20"/>
      <c r="G388" s="19" t="s">
        <v>1533</v>
      </c>
      <c r="H388" s="21" t="s">
        <v>1534</v>
      </c>
      <c r="I388" s="21" t="s">
        <v>16</v>
      </c>
      <c r="J388" s="20" t="s">
        <v>1535</v>
      </c>
      <c r="K388" s="20" t="s">
        <v>1536</v>
      </c>
    </row>
    <row r="389" spans="1:11" ht="46" customHeight="1">
      <c r="A389" s="19">
        <v>385</v>
      </c>
      <c r="B389" s="19" t="s">
        <v>1519</v>
      </c>
      <c r="C389" s="20" t="s">
        <v>1520</v>
      </c>
      <c r="D389" s="20" t="s">
        <v>1520</v>
      </c>
      <c r="E389" s="21"/>
      <c r="F389" s="20"/>
      <c r="G389" s="19" t="s">
        <v>1537</v>
      </c>
      <c r="H389" s="21" t="s">
        <v>1538</v>
      </c>
      <c r="I389" s="21" t="s">
        <v>24</v>
      </c>
      <c r="J389" s="20" t="s">
        <v>1408</v>
      </c>
      <c r="K389" s="20" t="s">
        <v>1539</v>
      </c>
    </row>
    <row r="390" spans="1:11" ht="46" customHeight="1">
      <c r="A390" s="19">
        <v>386</v>
      </c>
      <c r="B390" s="19" t="s">
        <v>1519</v>
      </c>
      <c r="C390" s="20" t="s">
        <v>1520</v>
      </c>
      <c r="D390" s="20" t="s">
        <v>1520</v>
      </c>
      <c r="E390" s="21"/>
      <c r="F390" s="20"/>
      <c r="G390" s="19" t="s">
        <v>1540</v>
      </c>
      <c r="H390" s="21" t="s">
        <v>1541</v>
      </c>
      <c r="I390" s="21" t="s">
        <v>16</v>
      </c>
      <c r="J390" s="20" t="s">
        <v>181</v>
      </c>
      <c r="K390" s="20" t="s">
        <v>1542</v>
      </c>
    </row>
    <row r="391" spans="1:11" ht="46" customHeight="1">
      <c r="A391" s="19">
        <v>387</v>
      </c>
      <c r="B391" s="19" t="s">
        <v>1519</v>
      </c>
      <c r="C391" s="20" t="s">
        <v>1520</v>
      </c>
      <c r="D391" s="20" t="s">
        <v>1520</v>
      </c>
      <c r="E391" s="21"/>
      <c r="F391" s="20"/>
      <c r="G391" s="19" t="s">
        <v>1543</v>
      </c>
      <c r="H391" s="21" t="s">
        <v>1544</v>
      </c>
      <c r="I391" s="21" t="s">
        <v>16</v>
      </c>
      <c r="J391" s="20" t="s">
        <v>1545</v>
      </c>
      <c r="K391" s="20" t="s">
        <v>1546</v>
      </c>
    </row>
    <row r="392" spans="1:11" ht="46" customHeight="1">
      <c r="A392" s="19">
        <v>388</v>
      </c>
      <c r="B392" s="19" t="s">
        <v>1519</v>
      </c>
      <c r="C392" s="20" t="s">
        <v>1520</v>
      </c>
      <c r="D392" s="20" t="s">
        <v>1520</v>
      </c>
      <c r="E392" s="21"/>
      <c r="F392" s="20"/>
      <c r="G392" s="19" t="s">
        <v>1547</v>
      </c>
      <c r="H392" s="21" t="s">
        <v>1548</v>
      </c>
      <c r="I392" s="21" t="s">
        <v>24</v>
      </c>
      <c r="J392" s="20" t="s">
        <v>1549</v>
      </c>
      <c r="K392" s="20" t="s">
        <v>1550</v>
      </c>
    </row>
    <row r="393" spans="1:11" ht="46" customHeight="1">
      <c r="A393" s="19">
        <v>389</v>
      </c>
      <c r="B393" s="19" t="s">
        <v>1519</v>
      </c>
      <c r="C393" s="20" t="s">
        <v>1520</v>
      </c>
      <c r="D393" s="20" t="s">
        <v>1520</v>
      </c>
      <c r="E393" s="21"/>
      <c r="F393" s="20"/>
      <c r="G393" s="19" t="s">
        <v>1551</v>
      </c>
      <c r="H393" s="21" t="s">
        <v>1552</v>
      </c>
      <c r="I393" s="21" t="s">
        <v>24</v>
      </c>
      <c r="J393" s="20" t="s">
        <v>1553</v>
      </c>
      <c r="K393" s="20" t="s">
        <v>1554</v>
      </c>
    </row>
    <row r="394" spans="1:11" ht="46" customHeight="1">
      <c r="A394" s="19">
        <v>390</v>
      </c>
      <c r="B394" s="19" t="s">
        <v>1519</v>
      </c>
      <c r="C394" s="20" t="s">
        <v>1520</v>
      </c>
      <c r="D394" s="20" t="s">
        <v>1520</v>
      </c>
      <c r="E394" s="21"/>
      <c r="F394" s="20"/>
      <c r="G394" s="19" t="s">
        <v>1555</v>
      </c>
      <c r="H394" s="21" t="s">
        <v>1556</v>
      </c>
      <c r="I394" s="21" t="s">
        <v>24</v>
      </c>
      <c r="J394" s="20" t="s">
        <v>1557</v>
      </c>
      <c r="K394" s="20" t="s">
        <v>1558</v>
      </c>
    </row>
    <row r="395" spans="1:11" ht="46" customHeight="1">
      <c r="A395" s="19">
        <v>391</v>
      </c>
      <c r="B395" s="19" t="s">
        <v>1519</v>
      </c>
      <c r="C395" s="20" t="s">
        <v>1520</v>
      </c>
      <c r="D395" s="20" t="s">
        <v>1520</v>
      </c>
      <c r="E395" s="21"/>
      <c r="F395" s="20"/>
      <c r="G395" s="19" t="s">
        <v>1559</v>
      </c>
      <c r="H395" s="21" t="s">
        <v>1560</v>
      </c>
      <c r="I395" s="21" t="s">
        <v>16</v>
      </c>
      <c r="J395" s="20" t="s">
        <v>312</v>
      </c>
      <c r="K395" s="20" t="s">
        <v>1561</v>
      </c>
    </row>
    <row r="396" spans="1:11" ht="46" customHeight="1">
      <c r="A396" s="19">
        <v>392</v>
      </c>
      <c r="B396" s="19" t="s">
        <v>1519</v>
      </c>
      <c r="C396" s="20" t="s">
        <v>1520</v>
      </c>
      <c r="D396" s="20" t="s">
        <v>1520</v>
      </c>
      <c r="E396" s="21"/>
      <c r="F396" s="20"/>
      <c r="G396" s="19" t="s">
        <v>1562</v>
      </c>
      <c r="H396" s="21" t="s">
        <v>1563</v>
      </c>
      <c r="I396" s="21" t="s">
        <v>16</v>
      </c>
      <c r="J396" s="20" t="s">
        <v>312</v>
      </c>
      <c r="K396" s="20" t="s">
        <v>1564</v>
      </c>
    </row>
    <row r="397" spans="1:11" ht="46" customHeight="1">
      <c r="A397" s="19">
        <v>393</v>
      </c>
      <c r="B397" s="19" t="s">
        <v>1519</v>
      </c>
      <c r="C397" s="20" t="s">
        <v>1520</v>
      </c>
      <c r="D397" s="20" t="s">
        <v>1520</v>
      </c>
      <c r="E397" s="21"/>
      <c r="F397" s="20"/>
      <c r="G397" s="19" t="s">
        <v>1565</v>
      </c>
      <c r="H397" s="21" t="s">
        <v>1566</v>
      </c>
      <c r="I397" s="21" t="s">
        <v>16</v>
      </c>
      <c r="J397" s="20" t="s">
        <v>312</v>
      </c>
      <c r="K397" s="20" t="s">
        <v>1567</v>
      </c>
    </row>
    <row r="398" spans="1:11" ht="46" customHeight="1">
      <c r="A398" s="19">
        <v>394</v>
      </c>
      <c r="B398" s="19" t="s">
        <v>1519</v>
      </c>
      <c r="C398" s="20" t="s">
        <v>1520</v>
      </c>
      <c r="D398" s="20" t="s">
        <v>1520</v>
      </c>
      <c r="E398" s="21"/>
      <c r="F398" s="20"/>
      <c r="G398" s="19" t="s">
        <v>1568</v>
      </c>
      <c r="H398" s="21" t="s">
        <v>1569</v>
      </c>
      <c r="I398" s="21" t="s">
        <v>16</v>
      </c>
      <c r="J398" s="20" t="s">
        <v>1570</v>
      </c>
      <c r="K398" s="20" t="s">
        <v>1571</v>
      </c>
    </row>
    <row r="399" spans="1:11" ht="46" customHeight="1">
      <c r="A399" s="19">
        <v>395</v>
      </c>
      <c r="B399" s="19" t="s">
        <v>1519</v>
      </c>
      <c r="C399" s="20" t="s">
        <v>1520</v>
      </c>
      <c r="D399" s="20" t="s">
        <v>1520</v>
      </c>
      <c r="E399" s="21"/>
      <c r="F399" s="20"/>
      <c r="G399" s="19" t="s">
        <v>1572</v>
      </c>
      <c r="H399" s="21" t="s">
        <v>1573</v>
      </c>
      <c r="I399" s="21" t="s">
        <v>16</v>
      </c>
      <c r="J399" s="20" t="s">
        <v>1574</v>
      </c>
      <c r="K399" s="20" t="s">
        <v>1575</v>
      </c>
    </row>
    <row r="400" spans="1:11" ht="46" customHeight="1">
      <c r="A400" s="19">
        <v>396</v>
      </c>
      <c r="B400" s="19" t="s">
        <v>1519</v>
      </c>
      <c r="C400" s="20" t="s">
        <v>1520</v>
      </c>
      <c r="D400" s="20" t="s">
        <v>1520</v>
      </c>
      <c r="E400" s="21"/>
      <c r="F400" s="20"/>
      <c r="G400" s="19" t="s">
        <v>1576</v>
      </c>
      <c r="H400" s="21" t="s">
        <v>1577</v>
      </c>
      <c r="I400" s="21" t="s">
        <v>24</v>
      </c>
      <c r="J400" s="20" t="s">
        <v>1578</v>
      </c>
      <c r="K400" s="20" t="s">
        <v>1579</v>
      </c>
    </row>
    <row r="401" spans="1:11" ht="46" customHeight="1">
      <c r="A401" s="19">
        <v>397</v>
      </c>
      <c r="B401" s="19" t="s">
        <v>1519</v>
      </c>
      <c r="C401" s="20" t="s">
        <v>1520</v>
      </c>
      <c r="D401" s="20" t="s">
        <v>1520</v>
      </c>
      <c r="E401" s="21"/>
      <c r="F401" s="20"/>
      <c r="G401" s="19" t="s">
        <v>1580</v>
      </c>
      <c r="H401" s="21" t="s">
        <v>1581</v>
      </c>
      <c r="I401" s="21" t="s">
        <v>16</v>
      </c>
      <c r="J401" s="20" t="s">
        <v>1582</v>
      </c>
      <c r="K401" s="20" t="s">
        <v>1583</v>
      </c>
    </row>
    <row r="402" spans="1:11" ht="46" customHeight="1">
      <c r="A402" s="19">
        <v>398</v>
      </c>
      <c r="B402" s="19" t="s">
        <v>1519</v>
      </c>
      <c r="C402" s="20" t="s">
        <v>1520</v>
      </c>
      <c r="D402" s="20" t="s">
        <v>1520</v>
      </c>
      <c r="E402" s="21"/>
      <c r="F402" s="20"/>
      <c r="G402" s="19" t="s">
        <v>1584</v>
      </c>
      <c r="H402" s="21" t="s">
        <v>1585</v>
      </c>
      <c r="I402" s="21" t="s">
        <v>16</v>
      </c>
      <c r="J402" s="20" t="s">
        <v>1586</v>
      </c>
      <c r="K402" s="20" t="s">
        <v>1587</v>
      </c>
    </row>
    <row r="403" spans="1:11" ht="46" customHeight="1">
      <c r="A403" s="19">
        <v>399</v>
      </c>
      <c r="B403" s="19" t="s">
        <v>1519</v>
      </c>
      <c r="C403" s="20" t="s">
        <v>1520</v>
      </c>
      <c r="D403" s="20" t="s">
        <v>1520</v>
      </c>
      <c r="E403" s="21"/>
      <c r="F403" s="20"/>
      <c r="G403" s="19" t="s">
        <v>1588</v>
      </c>
      <c r="H403" s="21" t="s">
        <v>1589</v>
      </c>
      <c r="I403" s="21" t="s">
        <v>16</v>
      </c>
      <c r="J403" s="20" t="s">
        <v>1590</v>
      </c>
      <c r="K403" s="20" t="s">
        <v>1591</v>
      </c>
    </row>
    <row r="404" spans="1:11" ht="46" customHeight="1">
      <c r="A404" s="19">
        <v>400</v>
      </c>
      <c r="B404" s="19" t="s">
        <v>1519</v>
      </c>
      <c r="C404" s="20" t="s">
        <v>1520</v>
      </c>
      <c r="D404" s="20" t="s">
        <v>1520</v>
      </c>
      <c r="E404" s="21"/>
      <c r="F404" s="20"/>
      <c r="G404" s="19" t="s">
        <v>1592</v>
      </c>
      <c r="H404" s="21" t="s">
        <v>1593</v>
      </c>
      <c r="I404" s="21" t="s">
        <v>24</v>
      </c>
      <c r="J404" s="20" t="s">
        <v>1594</v>
      </c>
      <c r="K404" s="20" t="s">
        <v>1595</v>
      </c>
    </row>
    <row r="405" spans="1:11" ht="46" customHeight="1">
      <c r="A405" s="19">
        <v>401</v>
      </c>
      <c r="B405" s="19" t="s">
        <v>1519</v>
      </c>
      <c r="C405" s="20" t="s">
        <v>1520</v>
      </c>
      <c r="D405" s="20" t="s">
        <v>1520</v>
      </c>
      <c r="E405" s="21"/>
      <c r="F405" s="20"/>
      <c r="G405" s="19" t="s">
        <v>1596</v>
      </c>
      <c r="H405" s="21" t="s">
        <v>1597</v>
      </c>
      <c r="I405" s="21" t="s">
        <v>16</v>
      </c>
      <c r="J405" s="20" t="s">
        <v>1598</v>
      </c>
      <c r="K405" s="20" t="s">
        <v>1599</v>
      </c>
    </row>
    <row r="406" spans="1:11" ht="46" customHeight="1">
      <c r="A406" s="19">
        <v>402</v>
      </c>
      <c r="B406" s="19" t="s">
        <v>1519</v>
      </c>
      <c r="C406" s="20" t="s">
        <v>1520</v>
      </c>
      <c r="D406" s="20" t="s">
        <v>1520</v>
      </c>
      <c r="E406" s="21"/>
      <c r="F406" s="20"/>
      <c r="G406" s="19" t="s">
        <v>1600</v>
      </c>
      <c r="H406" s="21" t="s">
        <v>1601</v>
      </c>
      <c r="I406" s="21" t="s">
        <v>24</v>
      </c>
      <c r="J406" s="20" t="s">
        <v>1602</v>
      </c>
      <c r="K406" s="20" t="s">
        <v>1603</v>
      </c>
    </row>
    <row r="407" spans="1:11" ht="46" customHeight="1">
      <c r="A407" s="19">
        <v>403</v>
      </c>
      <c r="B407" s="19" t="s">
        <v>1519</v>
      </c>
      <c r="C407" s="20" t="s">
        <v>1520</v>
      </c>
      <c r="D407" s="20" t="s">
        <v>1520</v>
      </c>
      <c r="E407" s="21"/>
      <c r="F407" s="20"/>
      <c r="G407" s="19" t="s">
        <v>1604</v>
      </c>
      <c r="H407" s="21" t="s">
        <v>1605</v>
      </c>
      <c r="I407" s="21" t="s">
        <v>24</v>
      </c>
      <c r="J407" s="20" t="s">
        <v>1606</v>
      </c>
      <c r="K407" s="20" t="s">
        <v>1607</v>
      </c>
    </row>
    <row r="408" spans="1:11" ht="46" customHeight="1">
      <c r="A408" s="19">
        <v>404</v>
      </c>
      <c r="B408" s="19" t="s">
        <v>1519</v>
      </c>
      <c r="C408" s="20" t="s">
        <v>1520</v>
      </c>
      <c r="D408" s="20" t="s">
        <v>1520</v>
      </c>
      <c r="E408" s="21"/>
      <c r="F408" s="20"/>
      <c r="G408" s="19" t="s">
        <v>1608</v>
      </c>
      <c r="H408" s="21" t="s">
        <v>1609</v>
      </c>
      <c r="I408" s="21" t="s">
        <v>24</v>
      </c>
      <c r="J408" s="20" t="s">
        <v>1610</v>
      </c>
      <c r="K408" s="20" t="s">
        <v>1611</v>
      </c>
    </row>
    <row r="409" spans="1:11" ht="46" customHeight="1">
      <c r="A409" s="19">
        <v>405</v>
      </c>
      <c r="B409" s="19" t="s">
        <v>1519</v>
      </c>
      <c r="C409" s="20" t="s">
        <v>1520</v>
      </c>
      <c r="D409" s="20" t="s">
        <v>1520</v>
      </c>
      <c r="E409" s="21"/>
      <c r="F409" s="20"/>
      <c r="G409" s="19" t="s">
        <v>1612</v>
      </c>
      <c r="H409" s="21" t="s">
        <v>1613</v>
      </c>
      <c r="I409" s="21" t="s">
        <v>16</v>
      </c>
      <c r="J409" s="20" t="s">
        <v>498</v>
      </c>
      <c r="K409" s="20" t="s">
        <v>1614</v>
      </c>
    </row>
    <row r="410" spans="1:11" ht="46" customHeight="1">
      <c r="A410" s="19">
        <v>406</v>
      </c>
      <c r="B410" s="19" t="s">
        <v>1615</v>
      </c>
      <c r="C410" s="20" t="s">
        <v>1616</v>
      </c>
      <c r="D410" s="20" t="s">
        <v>1616</v>
      </c>
      <c r="E410" s="21"/>
      <c r="F410" s="20"/>
      <c r="G410" s="19" t="s">
        <v>1617</v>
      </c>
      <c r="H410" s="21" t="s">
        <v>1618</v>
      </c>
      <c r="I410" s="21" t="s">
        <v>16</v>
      </c>
      <c r="J410" s="20" t="s">
        <v>1619</v>
      </c>
      <c r="K410" s="20" t="s">
        <v>1620</v>
      </c>
    </row>
    <row r="411" spans="1:11" ht="46" customHeight="1">
      <c r="A411" s="19">
        <v>407</v>
      </c>
      <c r="B411" s="19" t="s">
        <v>1615</v>
      </c>
      <c r="C411" s="20" t="s">
        <v>1616</v>
      </c>
      <c r="D411" s="20" t="s">
        <v>1616</v>
      </c>
      <c r="E411" s="21"/>
      <c r="F411" s="20"/>
      <c r="G411" s="19" t="s">
        <v>1621</v>
      </c>
      <c r="H411" s="21" t="s">
        <v>1622</v>
      </c>
      <c r="I411" s="21" t="s">
        <v>16</v>
      </c>
      <c r="J411" s="20" t="s">
        <v>1623</v>
      </c>
      <c r="K411" s="20" t="s">
        <v>1624</v>
      </c>
    </row>
    <row r="412" spans="1:11" ht="46" customHeight="1">
      <c r="A412" s="19">
        <v>408</v>
      </c>
      <c r="B412" s="19" t="s">
        <v>1615</v>
      </c>
      <c r="C412" s="20" t="s">
        <v>1616</v>
      </c>
      <c r="D412" s="20" t="s">
        <v>1616</v>
      </c>
      <c r="E412" s="21"/>
      <c r="F412" s="20"/>
      <c r="G412" s="19" t="s">
        <v>1625</v>
      </c>
      <c r="H412" s="21" t="s">
        <v>1626</v>
      </c>
      <c r="I412" s="21" t="s">
        <v>16</v>
      </c>
      <c r="J412" s="20" t="s">
        <v>1408</v>
      </c>
      <c r="K412" s="20" t="s">
        <v>1627</v>
      </c>
    </row>
    <row r="413" spans="1:11" ht="46" customHeight="1">
      <c r="A413" s="19">
        <v>409</v>
      </c>
      <c r="B413" s="19" t="s">
        <v>1615</v>
      </c>
      <c r="C413" s="20" t="s">
        <v>1616</v>
      </c>
      <c r="D413" s="20" t="s">
        <v>1616</v>
      </c>
      <c r="E413" s="21"/>
      <c r="F413" s="20"/>
      <c r="G413" s="19" t="s">
        <v>1628</v>
      </c>
      <c r="H413" s="21" t="s">
        <v>1629</v>
      </c>
      <c r="I413" s="21" t="s">
        <v>16</v>
      </c>
      <c r="J413" s="20" t="s">
        <v>1630</v>
      </c>
      <c r="K413" s="20" t="s">
        <v>1631</v>
      </c>
    </row>
    <row r="414" spans="1:11" ht="46" customHeight="1">
      <c r="A414" s="19">
        <v>410</v>
      </c>
      <c r="B414" s="19" t="s">
        <v>1615</v>
      </c>
      <c r="C414" s="20" t="s">
        <v>1616</v>
      </c>
      <c r="D414" s="20" t="s">
        <v>1616</v>
      </c>
      <c r="E414" s="21"/>
      <c r="F414" s="20"/>
      <c r="G414" s="19" t="s">
        <v>1632</v>
      </c>
      <c r="H414" s="21" t="s">
        <v>1633</v>
      </c>
      <c r="I414" s="21" t="s">
        <v>16</v>
      </c>
      <c r="J414" s="20" t="s">
        <v>1634</v>
      </c>
      <c r="K414" s="20" t="s">
        <v>1635</v>
      </c>
    </row>
    <row r="415" spans="1:11" ht="46" customHeight="1">
      <c r="A415" s="19">
        <v>411</v>
      </c>
      <c r="B415" s="19" t="s">
        <v>1615</v>
      </c>
      <c r="C415" s="20" t="s">
        <v>1616</v>
      </c>
      <c r="D415" s="20" t="s">
        <v>1616</v>
      </c>
      <c r="E415" s="21"/>
      <c r="F415" s="20"/>
      <c r="G415" s="19" t="s">
        <v>1636</v>
      </c>
      <c r="H415" s="21" t="s">
        <v>1637</v>
      </c>
      <c r="I415" s="21" t="s">
        <v>16</v>
      </c>
      <c r="J415" s="20" t="s">
        <v>1638</v>
      </c>
      <c r="K415" s="20" t="s">
        <v>1639</v>
      </c>
    </row>
    <row r="416" spans="1:11" ht="46" customHeight="1">
      <c r="A416" s="19">
        <v>412</v>
      </c>
      <c r="B416" s="19" t="s">
        <v>1615</v>
      </c>
      <c r="C416" s="20" t="s">
        <v>1616</v>
      </c>
      <c r="D416" s="20" t="s">
        <v>1616</v>
      </c>
      <c r="E416" s="21"/>
      <c r="F416" s="20"/>
      <c r="G416" s="19" t="s">
        <v>1640</v>
      </c>
      <c r="H416" s="21" t="s">
        <v>1641</v>
      </c>
      <c r="I416" s="21" t="s">
        <v>16</v>
      </c>
      <c r="J416" s="20" t="s">
        <v>1642</v>
      </c>
      <c r="K416" s="20" t="s">
        <v>1643</v>
      </c>
    </row>
    <row r="417" spans="1:11" ht="46" customHeight="1">
      <c r="A417" s="19">
        <v>413</v>
      </c>
      <c r="B417" s="19" t="s">
        <v>1615</v>
      </c>
      <c r="C417" s="20" t="s">
        <v>1616</v>
      </c>
      <c r="D417" s="20" t="s">
        <v>1616</v>
      </c>
      <c r="E417" s="21"/>
      <c r="F417" s="20"/>
      <c r="G417" s="19" t="s">
        <v>1644</v>
      </c>
      <c r="H417" s="21" t="s">
        <v>1645</v>
      </c>
      <c r="I417" s="21" t="s">
        <v>24</v>
      </c>
      <c r="J417" s="20" t="s">
        <v>1646</v>
      </c>
      <c r="K417" s="20" t="s">
        <v>1647</v>
      </c>
    </row>
    <row r="418" spans="1:11" ht="46" customHeight="1">
      <c r="A418" s="19">
        <v>414</v>
      </c>
      <c r="B418" s="19" t="s">
        <v>1615</v>
      </c>
      <c r="C418" s="20" t="s">
        <v>1616</v>
      </c>
      <c r="D418" s="20" t="s">
        <v>1616</v>
      </c>
      <c r="E418" s="21"/>
      <c r="F418" s="20"/>
      <c r="G418" s="19" t="s">
        <v>1648</v>
      </c>
      <c r="H418" s="21" t="s">
        <v>1649</v>
      </c>
      <c r="I418" s="21" t="s">
        <v>24</v>
      </c>
      <c r="J418" s="20" t="s">
        <v>1650</v>
      </c>
      <c r="K418" s="20" t="s">
        <v>1651</v>
      </c>
    </row>
    <row r="419" spans="1:11" ht="46" customHeight="1">
      <c r="A419" s="19">
        <v>415</v>
      </c>
      <c r="B419" s="19" t="s">
        <v>1615</v>
      </c>
      <c r="C419" s="20" t="s">
        <v>1616</v>
      </c>
      <c r="D419" s="20" t="s">
        <v>1616</v>
      </c>
      <c r="E419" s="21"/>
      <c r="F419" s="20"/>
      <c r="G419" s="19" t="s">
        <v>1652</v>
      </c>
      <c r="H419" s="21" t="s">
        <v>1653</v>
      </c>
      <c r="I419" s="21" t="s">
        <v>24</v>
      </c>
      <c r="J419" s="20" t="s">
        <v>1654</v>
      </c>
      <c r="K419" s="20" t="s">
        <v>1655</v>
      </c>
    </row>
    <row r="420" spans="1:11" ht="46" customHeight="1">
      <c r="A420" s="19">
        <v>416</v>
      </c>
      <c r="B420" s="19" t="s">
        <v>1615</v>
      </c>
      <c r="C420" s="20" t="s">
        <v>1616</v>
      </c>
      <c r="D420" s="20" t="s">
        <v>1616</v>
      </c>
      <c r="E420" s="21"/>
      <c r="F420" s="20"/>
      <c r="G420" s="19" t="s">
        <v>1656</v>
      </c>
      <c r="H420" s="21" t="s">
        <v>1657</v>
      </c>
      <c r="I420" s="21" t="s">
        <v>24</v>
      </c>
      <c r="J420" s="20" t="s">
        <v>1658</v>
      </c>
      <c r="K420" s="20" t="s">
        <v>1659</v>
      </c>
    </row>
    <row r="421" spans="1:11" ht="46" customHeight="1">
      <c r="A421" s="19">
        <v>417</v>
      </c>
      <c r="B421" s="19" t="s">
        <v>1615</v>
      </c>
      <c r="C421" s="20" t="s">
        <v>1616</v>
      </c>
      <c r="D421" s="20" t="s">
        <v>1616</v>
      </c>
      <c r="E421" s="21"/>
      <c r="F421" s="20"/>
      <c r="G421" s="19" t="s">
        <v>1660</v>
      </c>
      <c r="H421" s="21" t="s">
        <v>1661</v>
      </c>
      <c r="I421" s="21" t="s">
        <v>24</v>
      </c>
      <c r="J421" s="20" t="s">
        <v>1662</v>
      </c>
      <c r="K421" s="20" t="s">
        <v>1663</v>
      </c>
    </row>
    <row r="422" spans="1:11" ht="46" customHeight="1">
      <c r="A422" s="19">
        <v>418</v>
      </c>
      <c r="B422" s="19" t="s">
        <v>1615</v>
      </c>
      <c r="C422" s="20" t="s">
        <v>1616</v>
      </c>
      <c r="D422" s="20" t="s">
        <v>1616</v>
      </c>
      <c r="E422" s="21"/>
      <c r="F422" s="20"/>
      <c r="G422" s="19" t="s">
        <v>1664</v>
      </c>
      <c r="H422" s="21" t="s">
        <v>1665</v>
      </c>
      <c r="I422" s="21" t="s">
        <v>16</v>
      </c>
      <c r="J422" s="20" t="s">
        <v>1666</v>
      </c>
      <c r="K422" s="20" t="s">
        <v>1667</v>
      </c>
    </row>
    <row r="423" spans="1:11" ht="46" customHeight="1">
      <c r="A423" s="19">
        <v>419</v>
      </c>
      <c r="B423" s="19" t="s">
        <v>1615</v>
      </c>
      <c r="C423" s="20" t="s">
        <v>1616</v>
      </c>
      <c r="D423" s="20" t="s">
        <v>1616</v>
      </c>
      <c r="E423" s="21"/>
      <c r="F423" s="20"/>
      <c r="G423" s="19" t="s">
        <v>1668</v>
      </c>
      <c r="H423" s="21" t="s">
        <v>1669</v>
      </c>
      <c r="I423" s="21" t="s">
        <v>16</v>
      </c>
      <c r="J423" s="20" t="s">
        <v>1408</v>
      </c>
      <c r="K423" s="20" t="s">
        <v>1670</v>
      </c>
    </row>
    <row r="424" spans="1:11" ht="46" customHeight="1">
      <c r="A424" s="19">
        <v>420</v>
      </c>
      <c r="B424" s="19" t="s">
        <v>1615</v>
      </c>
      <c r="C424" s="20" t="s">
        <v>1616</v>
      </c>
      <c r="D424" s="20" t="s">
        <v>1616</v>
      </c>
      <c r="E424" s="21"/>
      <c r="F424" s="20"/>
      <c r="G424" s="19" t="s">
        <v>1671</v>
      </c>
      <c r="H424" s="21" t="s">
        <v>1672</v>
      </c>
      <c r="I424" s="21" t="s">
        <v>16</v>
      </c>
      <c r="J424" s="20" t="s">
        <v>1673</v>
      </c>
      <c r="K424" s="20" t="s">
        <v>1674</v>
      </c>
    </row>
    <row r="425" spans="1:11" ht="46" customHeight="1">
      <c r="A425" s="19">
        <v>421</v>
      </c>
      <c r="B425" s="19" t="s">
        <v>1615</v>
      </c>
      <c r="C425" s="20" t="s">
        <v>1616</v>
      </c>
      <c r="D425" s="20" t="s">
        <v>1616</v>
      </c>
      <c r="E425" s="21"/>
      <c r="F425" s="20"/>
      <c r="G425" s="19" t="s">
        <v>1675</v>
      </c>
      <c r="H425" s="21" t="s">
        <v>1676</v>
      </c>
      <c r="I425" s="21" t="s">
        <v>16</v>
      </c>
      <c r="J425" s="20" t="s">
        <v>1677</v>
      </c>
      <c r="K425" s="20" t="s">
        <v>1678</v>
      </c>
    </row>
    <row r="426" spans="1:11" ht="46" customHeight="1">
      <c r="A426" s="19">
        <v>422</v>
      </c>
      <c r="B426" s="19" t="s">
        <v>1615</v>
      </c>
      <c r="C426" s="20" t="s">
        <v>1616</v>
      </c>
      <c r="D426" s="20" t="s">
        <v>1616</v>
      </c>
      <c r="E426" s="21"/>
      <c r="F426" s="20"/>
      <c r="G426" s="19" t="s">
        <v>1679</v>
      </c>
      <c r="H426" s="21" t="s">
        <v>1680</v>
      </c>
      <c r="I426" s="21" t="s">
        <v>24</v>
      </c>
      <c r="J426" s="20" t="s">
        <v>218</v>
      </c>
      <c r="K426" s="20" t="s">
        <v>1681</v>
      </c>
    </row>
    <row r="427" spans="1:11" ht="46" customHeight="1">
      <c r="A427" s="19">
        <v>423</v>
      </c>
      <c r="B427" s="19" t="s">
        <v>1615</v>
      </c>
      <c r="C427" s="20" t="s">
        <v>1616</v>
      </c>
      <c r="D427" s="20" t="s">
        <v>1616</v>
      </c>
      <c r="E427" s="21"/>
      <c r="F427" s="20"/>
      <c r="G427" s="19" t="s">
        <v>1682</v>
      </c>
      <c r="H427" s="21" t="s">
        <v>1683</v>
      </c>
      <c r="I427" s="21" t="s">
        <v>16</v>
      </c>
      <c r="J427" s="20" t="s">
        <v>1684</v>
      </c>
      <c r="K427" s="20" t="s">
        <v>1685</v>
      </c>
    </row>
    <row r="428" spans="1:11" ht="46" customHeight="1">
      <c r="A428" s="19">
        <v>424</v>
      </c>
      <c r="B428" s="19" t="s">
        <v>1615</v>
      </c>
      <c r="C428" s="20" t="s">
        <v>1616</v>
      </c>
      <c r="D428" s="20" t="s">
        <v>1616</v>
      </c>
      <c r="E428" s="21"/>
      <c r="F428" s="20"/>
      <c r="G428" s="19" t="s">
        <v>1686</v>
      </c>
      <c r="H428" s="21" t="s">
        <v>1687</v>
      </c>
      <c r="I428" s="21" t="s">
        <v>24</v>
      </c>
      <c r="J428" s="20" t="s">
        <v>1688</v>
      </c>
      <c r="K428" s="20" t="s">
        <v>1689</v>
      </c>
    </row>
    <row r="429" spans="1:11" ht="46" customHeight="1">
      <c r="A429" s="19">
        <v>425</v>
      </c>
      <c r="B429" s="19" t="s">
        <v>1615</v>
      </c>
      <c r="C429" s="20" t="s">
        <v>1616</v>
      </c>
      <c r="D429" s="20" t="s">
        <v>1616</v>
      </c>
      <c r="E429" s="21"/>
      <c r="F429" s="20"/>
      <c r="G429" s="19" t="s">
        <v>1690</v>
      </c>
      <c r="H429" s="21" t="s">
        <v>1691</v>
      </c>
      <c r="I429" s="21" t="s">
        <v>24</v>
      </c>
      <c r="J429" s="20" t="s">
        <v>1692</v>
      </c>
      <c r="K429" s="20" t="s">
        <v>1693</v>
      </c>
    </row>
    <row r="430" spans="1:11" ht="46" customHeight="1">
      <c r="A430" s="19">
        <v>426</v>
      </c>
      <c r="B430" s="19" t="s">
        <v>1615</v>
      </c>
      <c r="C430" s="20" t="s">
        <v>1616</v>
      </c>
      <c r="D430" s="20" t="s">
        <v>1616</v>
      </c>
      <c r="E430" s="21"/>
      <c r="F430" s="20"/>
      <c r="G430" s="19" t="s">
        <v>1694</v>
      </c>
      <c r="H430" s="21" t="s">
        <v>1695</v>
      </c>
      <c r="I430" s="21" t="s">
        <v>24</v>
      </c>
      <c r="J430" s="20" t="s">
        <v>1696</v>
      </c>
      <c r="K430" s="20" t="s">
        <v>1697</v>
      </c>
    </row>
    <row r="431" spans="1:11" ht="46" customHeight="1">
      <c r="A431" s="19">
        <v>427</v>
      </c>
      <c r="B431" s="19" t="s">
        <v>1615</v>
      </c>
      <c r="C431" s="20" t="s">
        <v>1616</v>
      </c>
      <c r="D431" s="20" t="s">
        <v>1616</v>
      </c>
      <c r="E431" s="21"/>
      <c r="F431" s="20"/>
      <c r="G431" s="19" t="s">
        <v>1698</v>
      </c>
      <c r="H431" s="21" t="s">
        <v>1699</v>
      </c>
      <c r="I431" s="21" t="s">
        <v>16</v>
      </c>
      <c r="J431" s="20" t="s">
        <v>498</v>
      </c>
      <c r="K431" s="20" t="s">
        <v>1700</v>
      </c>
    </row>
    <row r="432" spans="1:11" ht="46" customHeight="1">
      <c r="A432" s="19">
        <v>428</v>
      </c>
      <c r="B432" s="19" t="s">
        <v>1701</v>
      </c>
      <c r="C432" s="20" t="s">
        <v>1702</v>
      </c>
      <c r="D432" s="20" t="s">
        <v>1702</v>
      </c>
      <c r="E432" s="21"/>
      <c r="F432" s="20"/>
      <c r="G432" s="19" t="s">
        <v>1703</v>
      </c>
      <c r="H432" s="21" t="s">
        <v>1704</v>
      </c>
      <c r="I432" s="21" t="s">
        <v>16</v>
      </c>
      <c r="J432" s="20" t="s">
        <v>1705</v>
      </c>
      <c r="K432" s="20" t="s">
        <v>1706</v>
      </c>
    </row>
    <row r="433" spans="1:11" ht="46" customHeight="1">
      <c r="A433" s="19">
        <v>429</v>
      </c>
      <c r="B433" s="19" t="s">
        <v>1701</v>
      </c>
      <c r="C433" s="20" t="s">
        <v>1702</v>
      </c>
      <c r="D433" s="20" t="s">
        <v>1702</v>
      </c>
      <c r="E433" s="21"/>
      <c r="F433" s="20"/>
      <c r="G433" s="19" t="s">
        <v>1707</v>
      </c>
      <c r="H433" s="21" t="s">
        <v>1708</v>
      </c>
      <c r="I433" s="21" t="s">
        <v>16</v>
      </c>
      <c r="J433" s="20" t="s">
        <v>1709</v>
      </c>
      <c r="K433" s="20" t="s">
        <v>1710</v>
      </c>
    </row>
    <row r="434" spans="1:11" ht="46" customHeight="1">
      <c r="A434" s="19">
        <v>430</v>
      </c>
      <c r="B434" s="19" t="s">
        <v>1701</v>
      </c>
      <c r="C434" s="20" t="s">
        <v>1702</v>
      </c>
      <c r="D434" s="20" t="s">
        <v>1702</v>
      </c>
      <c r="E434" s="21"/>
      <c r="F434" s="20"/>
      <c r="G434" s="19" t="s">
        <v>1711</v>
      </c>
      <c r="H434" s="21" t="s">
        <v>1712</v>
      </c>
      <c r="I434" s="21" t="s">
        <v>16</v>
      </c>
      <c r="J434" s="20" t="s">
        <v>1713</v>
      </c>
      <c r="K434" s="20" t="s">
        <v>1714</v>
      </c>
    </row>
    <row r="435" spans="1:11" ht="46" customHeight="1">
      <c r="A435" s="19">
        <v>431</v>
      </c>
      <c r="B435" s="19" t="s">
        <v>1701</v>
      </c>
      <c r="C435" s="20" t="s">
        <v>1702</v>
      </c>
      <c r="D435" s="20" t="s">
        <v>1702</v>
      </c>
      <c r="E435" s="21"/>
      <c r="F435" s="20"/>
      <c r="G435" s="19" t="s">
        <v>1715</v>
      </c>
      <c r="H435" s="21" t="s">
        <v>1716</v>
      </c>
      <c r="I435" s="21" t="s">
        <v>16</v>
      </c>
      <c r="J435" s="20" t="s">
        <v>1717</v>
      </c>
      <c r="K435" s="20" t="s">
        <v>1718</v>
      </c>
    </row>
    <row r="436" spans="1:11" ht="46" customHeight="1">
      <c r="A436" s="19">
        <v>432</v>
      </c>
      <c r="B436" s="19" t="s">
        <v>1701</v>
      </c>
      <c r="C436" s="20" t="s">
        <v>1702</v>
      </c>
      <c r="D436" s="20" t="s">
        <v>1702</v>
      </c>
      <c r="E436" s="21"/>
      <c r="F436" s="20"/>
      <c r="G436" s="19" t="s">
        <v>1719</v>
      </c>
      <c r="H436" s="21" t="s">
        <v>1720</v>
      </c>
      <c r="I436" s="21" t="s">
        <v>16</v>
      </c>
      <c r="J436" s="20" t="s">
        <v>1721</v>
      </c>
      <c r="K436" s="20" t="s">
        <v>1722</v>
      </c>
    </row>
    <row r="437" spans="1:11" ht="46" customHeight="1">
      <c r="A437" s="19">
        <v>433</v>
      </c>
      <c r="B437" s="19" t="s">
        <v>1701</v>
      </c>
      <c r="C437" s="20" t="s">
        <v>1702</v>
      </c>
      <c r="D437" s="20" t="s">
        <v>1702</v>
      </c>
      <c r="E437" s="21"/>
      <c r="F437" s="20"/>
      <c r="G437" s="19" t="s">
        <v>1723</v>
      </c>
      <c r="H437" s="21" t="s">
        <v>1724</v>
      </c>
      <c r="I437" s="21" t="s">
        <v>16</v>
      </c>
      <c r="J437" s="20" t="s">
        <v>1725</v>
      </c>
      <c r="K437" s="20" t="s">
        <v>1726</v>
      </c>
    </row>
    <row r="438" spans="1:11" ht="46" customHeight="1">
      <c r="A438" s="19">
        <v>434</v>
      </c>
      <c r="B438" s="19" t="s">
        <v>1701</v>
      </c>
      <c r="C438" s="20" t="s">
        <v>1702</v>
      </c>
      <c r="D438" s="20" t="s">
        <v>1702</v>
      </c>
      <c r="E438" s="21"/>
      <c r="F438" s="20"/>
      <c r="G438" s="19" t="s">
        <v>1727</v>
      </c>
      <c r="H438" s="21" t="s">
        <v>1728</v>
      </c>
      <c r="I438" s="21" t="s">
        <v>24</v>
      </c>
      <c r="J438" s="20" t="s">
        <v>1729</v>
      </c>
      <c r="K438" s="20" t="s">
        <v>1730</v>
      </c>
    </row>
    <row r="439" spans="1:11" ht="46" customHeight="1">
      <c r="A439" s="19">
        <v>435</v>
      </c>
      <c r="B439" s="19" t="s">
        <v>1701</v>
      </c>
      <c r="C439" s="20" t="s">
        <v>1702</v>
      </c>
      <c r="D439" s="20" t="s">
        <v>1702</v>
      </c>
      <c r="E439" s="21"/>
      <c r="F439" s="20"/>
      <c r="G439" s="19" t="s">
        <v>1731</v>
      </c>
      <c r="H439" s="21" t="s">
        <v>1732</v>
      </c>
      <c r="I439" s="21" t="s">
        <v>24</v>
      </c>
      <c r="J439" s="20" t="s">
        <v>1733</v>
      </c>
      <c r="K439" s="20" t="s">
        <v>1734</v>
      </c>
    </row>
    <row r="440" spans="1:11" ht="46" customHeight="1">
      <c r="A440" s="19">
        <v>436</v>
      </c>
      <c r="B440" s="19" t="s">
        <v>1701</v>
      </c>
      <c r="C440" s="20" t="s">
        <v>1702</v>
      </c>
      <c r="D440" s="20" t="s">
        <v>1702</v>
      </c>
      <c r="E440" s="21"/>
      <c r="F440" s="20"/>
      <c r="G440" s="19" t="s">
        <v>1735</v>
      </c>
      <c r="H440" s="21" t="s">
        <v>1736</v>
      </c>
      <c r="I440" s="21" t="s">
        <v>16</v>
      </c>
      <c r="J440" s="20" t="s">
        <v>482</v>
      </c>
      <c r="K440" s="20" t="s">
        <v>1737</v>
      </c>
    </row>
    <row r="441" spans="1:11" ht="46" customHeight="1">
      <c r="A441" s="19">
        <v>437</v>
      </c>
      <c r="B441" s="19" t="s">
        <v>1701</v>
      </c>
      <c r="C441" s="20" t="s">
        <v>1702</v>
      </c>
      <c r="D441" s="20" t="s">
        <v>1702</v>
      </c>
      <c r="E441" s="21"/>
      <c r="F441" s="20"/>
      <c r="G441" s="19" t="s">
        <v>1738</v>
      </c>
      <c r="H441" s="21" t="s">
        <v>1739</v>
      </c>
      <c r="I441" s="21" t="s">
        <v>16</v>
      </c>
      <c r="J441" s="20" t="s">
        <v>269</v>
      </c>
      <c r="K441" s="20" t="s">
        <v>1740</v>
      </c>
    </row>
    <row r="442" spans="1:11" ht="46" customHeight="1">
      <c r="A442" s="19">
        <v>438</v>
      </c>
      <c r="B442" s="19" t="s">
        <v>1701</v>
      </c>
      <c r="C442" s="20" t="s">
        <v>1702</v>
      </c>
      <c r="D442" s="20" t="s">
        <v>1702</v>
      </c>
      <c r="E442" s="21"/>
      <c r="F442" s="20"/>
      <c r="G442" s="19" t="s">
        <v>1741</v>
      </c>
      <c r="H442" s="21" t="s">
        <v>1742</v>
      </c>
      <c r="I442" s="21" t="s">
        <v>24</v>
      </c>
      <c r="J442" s="20" t="s">
        <v>1743</v>
      </c>
      <c r="K442" s="20" t="s">
        <v>1744</v>
      </c>
    </row>
    <row r="443" spans="1:11" ht="46" customHeight="1">
      <c r="A443" s="19">
        <v>439</v>
      </c>
      <c r="B443" s="19" t="s">
        <v>1701</v>
      </c>
      <c r="C443" s="20" t="s">
        <v>1702</v>
      </c>
      <c r="D443" s="20" t="s">
        <v>1702</v>
      </c>
      <c r="E443" s="21"/>
      <c r="F443" s="20"/>
      <c r="G443" s="19" t="s">
        <v>1745</v>
      </c>
      <c r="H443" s="21" t="s">
        <v>1746</v>
      </c>
      <c r="I443" s="21" t="s">
        <v>24</v>
      </c>
      <c r="J443" s="20" t="s">
        <v>1747</v>
      </c>
      <c r="K443" s="20" t="s">
        <v>1748</v>
      </c>
    </row>
    <row r="444" spans="1:11" ht="46" customHeight="1">
      <c r="A444" s="19">
        <v>440</v>
      </c>
      <c r="B444" s="19" t="s">
        <v>1701</v>
      </c>
      <c r="C444" s="20" t="s">
        <v>1702</v>
      </c>
      <c r="D444" s="20" t="s">
        <v>1702</v>
      </c>
      <c r="E444" s="21"/>
      <c r="F444" s="20"/>
      <c r="G444" s="19" t="s">
        <v>1749</v>
      </c>
      <c r="H444" s="21" t="s">
        <v>1750</v>
      </c>
      <c r="I444" s="21" t="s">
        <v>16</v>
      </c>
      <c r="J444" s="20" t="s">
        <v>482</v>
      </c>
      <c r="K444" s="20" t="s">
        <v>1751</v>
      </c>
    </row>
    <row r="445" spans="1:11" ht="46" customHeight="1">
      <c r="A445" s="19">
        <v>441</v>
      </c>
      <c r="B445" s="19" t="s">
        <v>1701</v>
      </c>
      <c r="C445" s="20" t="s">
        <v>1702</v>
      </c>
      <c r="D445" s="20" t="s">
        <v>1702</v>
      </c>
      <c r="E445" s="21"/>
      <c r="F445" s="20"/>
      <c r="G445" s="19" t="s">
        <v>1752</v>
      </c>
      <c r="H445" s="21" t="s">
        <v>1753</v>
      </c>
      <c r="I445" s="21" t="s">
        <v>24</v>
      </c>
      <c r="J445" s="20" t="s">
        <v>1754</v>
      </c>
      <c r="K445" s="20" t="s">
        <v>1755</v>
      </c>
    </row>
    <row r="446" spans="1:11" ht="46" customHeight="1">
      <c r="A446" s="19">
        <v>442</v>
      </c>
      <c r="B446" s="19" t="s">
        <v>1701</v>
      </c>
      <c r="C446" s="20" t="s">
        <v>1702</v>
      </c>
      <c r="D446" s="20" t="s">
        <v>1702</v>
      </c>
      <c r="E446" s="21"/>
      <c r="F446" s="20"/>
      <c r="G446" s="19" t="s">
        <v>1756</v>
      </c>
      <c r="H446" s="21" t="s">
        <v>1757</v>
      </c>
      <c r="I446" s="21" t="s">
        <v>24</v>
      </c>
      <c r="J446" s="20" t="s">
        <v>1758</v>
      </c>
      <c r="K446" s="20" t="s">
        <v>1759</v>
      </c>
    </row>
    <row r="447" spans="1:11" ht="46" customHeight="1">
      <c r="A447" s="19">
        <v>443</v>
      </c>
      <c r="B447" s="19" t="s">
        <v>1701</v>
      </c>
      <c r="C447" s="20" t="s">
        <v>1702</v>
      </c>
      <c r="D447" s="20" t="s">
        <v>1702</v>
      </c>
      <c r="E447" s="21"/>
      <c r="F447" s="20"/>
      <c r="G447" s="19" t="s">
        <v>1760</v>
      </c>
      <c r="H447" s="21" t="s">
        <v>1761</v>
      </c>
      <c r="I447" s="21" t="s">
        <v>24</v>
      </c>
      <c r="J447" s="20" t="s">
        <v>1762</v>
      </c>
      <c r="K447" s="20" t="s">
        <v>1763</v>
      </c>
    </row>
    <row r="448" spans="1:11" ht="46" customHeight="1">
      <c r="A448" s="19">
        <v>444</v>
      </c>
      <c r="B448" s="19" t="s">
        <v>1701</v>
      </c>
      <c r="C448" s="20" t="s">
        <v>1702</v>
      </c>
      <c r="D448" s="20" t="s">
        <v>1702</v>
      </c>
      <c r="E448" s="21"/>
      <c r="F448" s="20"/>
      <c r="G448" s="19" t="s">
        <v>1764</v>
      </c>
      <c r="H448" s="21" t="s">
        <v>1765</v>
      </c>
      <c r="I448" s="21" t="s">
        <v>16</v>
      </c>
      <c r="J448" s="20" t="s">
        <v>1766</v>
      </c>
      <c r="K448" s="20" t="s">
        <v>1767</v>
      </c>
    </row>
    <row r="449" spans="1:11" ht="46" customHeight="1">
      <c r="A449" s="19">
        <v>445</v>
      </c>
      <c r="B449" s="19" t="s">
        <v>1701</v>
      </c>
      <c r="C449" s="20" t="s">
        <v>1702</v>
      </c>
      <c r="D449" s="20" t="s">
        <v>1702</v>
      </c>
      <c r="E449" s="21"/>
      <c r="F449" s="20"/>
      <c r="G449" s="19" t="s">
        <v>1768</v>
      </c>
      <c r="H449" s="21" t="s">
        <v>1769</v>
      </c>
      <c r="I449" s="21" t="s">
        <v>16</v>
      </c>
      <c r="J449" s="20" t="s">
        <v>1770</v>
      </c>
      <c r="K449" s="20" t="s">
        <v>1771</v>
      </c>
    </row>
    <row r="450" spans="1:11" ht="46" customHeight="1">
      <c r="A450" s="19">
        <v>446</v>
      </c>
      <c r="B450" s="19" t="s">
        <v>1701</v>
      </c>
      <c r="C450" s="20" t="s">
        <v>1702</v>
      </c>
      <c r="D450" s="20" t="s">
        <v>1702</v>
      </c>
      <c r="E450" s="21"/>
      <c r="F450" s="20"/>
      <c r="G450" s="19" t="s">
        <v>1772</v>
      </c>
      <c r="H450" s="21" t="s">
        <v>1773</v>
      </c>
      <c r="I450" s="21" t="s">
        <v>24</v>
      </c>
      <c r="J450" s="20" t="s">
        <v>1705</v>
      </c>
      <c r="K450" s="20" t="s">
        <v>1774</v>
      </c>
    </row>
    <row r="451" spans="1:11" ht="46" customHeight="1">
      <c r="A451" s="19">
        <v>447</v>
      </c>
      <c r="B451" s="19" t="s">
        <v>1701</v>
      </c>
      <c r="C451" s="20" t="s">
        <v>1702</v>
      </c>
      <c r="D451" s="20" t="s">
        <v>1702</v>
      </c>
      <c r="E451" s="21"/>
      <c r="F451" s="20"/>
      <c r="G451" s="19" t="s">
        <v>1775</v>
      </c>
      <c r="H451" s="21" t="s">
        <v>1776</v>
      </c>
      <c r="I451" s="21" t="s">
        <v>16</v>
      </c>
      <c r="J451" s="20" t="s">
        <v>1777</v>
      </c>
      <c r="K451" s="20" t="s">
        <v>1778</v>
      </c>
    </row>
    <row r="452" spans="1:11" ht="46" customHeight="1">
      <c r="A452" s="19">
        <v>448</v>
      </c>
      <c r="B452" s="19" t="s">
        <v>1701</v>
      </c>
      <c r="C452" s="20" t="s">
        <v>1702</v>
      </c>
      <c r="D452" s="20" t="s">
        <v>1702</v>
      </c>
      <c r="E452" s="21"/>
      <c r="F452" s="20"/>
      <c r="G452" s="19" t="s">
        <v>1779</v>
      </c>
      <c r="H452" s="21" t="s">
        <v>1780</v>
      </c>
      <c r="I452" s="21" t="s">
        <v>16</v>
      </c>
      <c r="J452" s="20" t="s">
        <v>1781</v>
      </c>
      <c r="K452" s="20" t="s">
        <v>1782</v>
      </c>
    </row>
    <row r="453" spans="1:11" ht="46" customHeight="1">
      <c r="A453" s="19">
        <v>449</v>
      </c>
      <c r="B453" s="19" t="s">
        <v>1701</v>
      </c>
      <c r="C453" s="20" t="s">
        <v>1702</v>
      </c>
      <c r="D453" s="20" t="s">
        <v>1702</v>
      </c>
      <c r="E453" s="21"/>
      <c r="F453" s="20"/>
      <c r="G453" s="19" t="s">
        <v>1783</v>
      </c>
      <c r="H453" s="21" t="s">
        <v>1784</v>
      </c>
      <c r="I453" s="21" t="s">
        <v>16</v>
      </c>
      <c r="J453" s="20" t="s">
        <v>1785</v>
      </c>
      <c r="K453" s="20" t="s">
        <v>1786</v>
      </c>
    </row>
    <row r="454" spans="1:11" ht="46" customHeight="1">
      <c r="A454" s="19">
        <v>450</v>
      </c>
      <c r="B454" s="19" t="s">
        <v>1701</v>
      </c>
      <c r="C454" s="20" t="s">
        <v>1702</v>
      </c>
      <c r="D454" s="20" t="s">
        <v>1702</v>
      </c>
      <c r="E454" s="21"/>
      <c r="F454" s="20"/>
      <c r="G454" s="19" t="s">
        <v>1787</v>
      </c>
      <c r="H454" s="21" t="s">
        <v>1788</v>
      </c>
      <c r="I454" s="21" t="s">
        <v>16</v>
      </c>
      <c r="J454" s="20" t="s">
        <v>1789</v>
      </c>
      <c r="K454" s="20" t="s">
        <v>1790</v>
      </c>
    </row>
    <row r="455" spans="1:11" ht="46" customHeight="1">
      <c r="A455" s="19">
        <v>451</v>
      </c>
      <c r="B455" s="19" t="s">
        <v>1701</v>
      </c>
      <c r="C455" s="20" t="s">
        <v>1702</v>
      </c>
      <c r="D455" s="20" t="s">
        <v>1702</v>
      </c>
      <c r="E455" s="21"/>
      <c r="F455" s="20"/>
      <c r="G455" s="19" t="s">
        <v>1791</v>
      </c>
      <c r="H455" s="21" t="s">
        <v>1792</v>
      </c>
      <c r="I455" s="21" t="s">
        <v>16</v>
      </c>
      <c r="J455" s="20" t="s">
        <v>498</v>
      </c>
      <c r="K455" s="20" t="s">
        <v>1793</v>
      </c>
    </row>
    <row r="456" spans="1:11" ht="46" customHeight="1">
      <c r="A456" s="19">
        <v>452</v>
      </c>
      <c r="B456" s="19" t="s">
        <v>1794</v>
      </c>
      <c r="C456" s="20" t="s">
        <v>1795</v>
      </c>
      <c r="D456" s="20" t="s">
        <v>1795</v>
      </c>
      <c r="E456" s="21"/>
      <c r="F456" s="20"/>
      <c r="G456" s="19" t="s">
        <v>1796</v>
      </c>
      <c r="H456" s="21" t="s">
        <v>1797</v>
      </c>
      <c r="I456" s="21" t="s">
        <v>16</v>
      </c>
      <c r="J456" s="20" t="s">
        <v>1798</v>
      </c>
      <c r="K456" s="20" t="s">
        <v>1799</v>
      </c>
    </row>
    <row r="457" spans="1:11" ht="46" customHeight="1">
      <c r="A457" s="19">
        <v>453</v>
      </c>
      <c r="B457" s="19" t="s">
        <v>1794</v>
      </c>
      <c r="C457" s="20" t="s">
        <v>1795</v>
      </c>
      <c r="D457" s="20" t="s">
        <v>1795</v>
      </c>
      <c r="E457" s="21"/>
      <c r="F457" s="20"/>
      <c r="G457" s="19" t="s">
        <v>1800</v>
      </c>
      <c r="H457" s="21" t="s">
        <v>1801</v>
      </c>
      <c r="I457" s="21" t="s">
        <v>16</v>
      </c>
      <c r="J457" s="20" t="s">
        <v>1802</v>
      </c>
      <c r="K457" s="20" t="s">
        <v>1803</v>
      </c>
    </row>
    <row r="458" spans="1:11" ht="46" customHeight="1">
      <c r="A458" s="19">
        <v>454</v>
      </c>
      <c r="B458" s="19" t="s">
        <v>1794</v>
      </c>
      <c r="C458" s="20" t="s">
        <v>1795</v>
      </c>
      <c r="D458" s="20" t="s">
        <v>1795</v>
      </c>
      <c r="E458" s="21"/>
      <c r="F458" s="20"/>
      <c r="G458" s="19" t="s">
        <v>1804</v>
      </c>
      <c r="H458" s="21" t="s">
        <v>1805</v>
      </c>
      <c r="I458" s="21" t="s">
        <v>16</v>
      </c>
      <c r="J458" s="20" t="s">
        <v>1432</v>
      </c>
      <c r="K458" s="20" t="s">
        <v>1806</v>
      </c>
    </row>
    <row r="459" spans="1:11" ht="46" customHeight="1">
      <c r="A459" s="19">
        <v>455</v>
      </c>
      <c r="B459" s="19" t="s">
        <v>1794</v>
      </c>
      <c r="C459" s="20" t="s">
        <v>1795</v>
      </c>
      <c r="D459" s="20" t="s">
        <v>1795</v>
      </c>
      <c r="E459" s="21"/>
      <c r="F459" s="20"/>
      <c r="G459" s="19" t="s">
        <v>1807</v>
      </c>
      <c r="H459" s="21" t="s">
        <v>1808</v>
      </c>
      <c r="I459" s="21" t="s">
        <v>16</v>
      </c>
      <c r="J459" s="20" t="s">
        <v>1809</v>
      </c>
      <c r="K459" s="20" t="s">
        <v>1810</v>
      </c>
    </row>
    <row r="460" spans="1:11" ht="46" customHeight="1">
      <c r="A460" s="19">
        <v>456</v>
      </c>
      <c r="B460" s="19" t="s">
        <v>1794</v>
      </c>
      <c r="C460" s="20" t="s">
        <v>1795</v>
      </c>
      <c r="D460" s="20" t="s">
        <v>1795</v>
      </c>
      <c r="E460" s="21"/>
      <c r="F460" s="20"/>
      <c r="G460" s="19" t="s">
        <v>1811</v>
      </c>
      <c r="H460" s="21" t="s">
        <v>1812</v>
      </c>
      <c r="I460" s="21" t="s">
        <v>16</v>
      </c>
      <c r="J460" s="20" t="s">
        <v>1813</v>
      </c>
      <c r="K460" s="20" t="s">
        <v>1814</v>
      </c>
    </row>
    <row r="461" spans="1:11" ht="46" customHeight="1">
      <c r="A461" s="19">
        <v>457</v>
      </c>
      <c r="B461" s="19" t="s">
        <v>1794</v>
      </c>
      <c r="C461" s="20" t="s">
        <v>1795</v>
      </c>
      <c r="D461" s="20" t="s">
        <v>1795</v>
      </c>
      <c r="E461" s="21"/>
      <c r="F461" s="20"/>
      <c r="G461" s="19" t="s">
        <v>1815</v>
      </c>
      <c r="H461" s="21" t="s">
        <v>1816</v>
      </c>
      <c r="I461" s="21" t="s">
        <v>24</v>
      </c>
      <c r="J461" s="20" t="s">
        <v>1817</v>
      </c>
      <c r="K461" s="20" t="s">
        <v>1818</v>
      </c>
    </row>
    <row r="462" spans="1:11" ht="46" customHeight="1">
      <c r="A462" s="19">
        <v>458</v>
      </c>
      <c r="B462" s="19" t="s">
        <v>1794</v>
      </c>
      <c r="C462" s="20" t="s">
        <v>1795</v>
      </c>
      <c r="D462" s="20" t="s">
        <v>1795</v>
      </c>
      <c r="E462" s="21"/>
      <c r="F462" s="20"/>
      <c r="G462" s="19" t="s">
        <v>1819</v>
      </c>
      <c r="H462" s="21" t="s">
        <v>1820</v>
      </c>
      <c r="I462" s="21" t="s">
        <v>16</v>
      </c>
      <c r="J462" s="20" t="s">
        <v>1821</v>
      </c>
      <c r="K462" s="20" t="s">
        <v>1822</v>
      </c>
    </row>
    <row r="463" spans="1:11" ht="46" customHeight="1">
      <c r="A463" s="19">
        <v>459</v>
      </c>
      <c r="B463" s="19" t="s">
        <v>1794</v>
      </c>
      <c r="C463" s="20" t="s">
        <v>1795</v>
      </c>
      <c r="D463" s="20" t="s">
        <v>1795</v>
      </c>
      <c r="E463" s="21"/>
      <c r="F463" s="20"/>
      <c r="G463" s="19" t="s">
        <v>1823</v>
      </c>
      <c r="H463" s="21" t="s">
        <v>1824</v>
      </c>
      <c r="I463" s="21" t="s">
        <v>16</v>
      </c>
      <c r="J463" s="20" t="s">
        <v>1825</v>
      </c>
      <c r="K463" s="20" t="s">
        <v>1826</v>
      </c>
    </row>
    <row r="464" spans="1:11" ht="46" customHeight="1">
      <c r="A464" s="19">
        <v>460</v>
      </c>
      <c r="B464" s="19" t="s">
        <v>1794</v>
      </c>
      <c r="C464" s="20" t="s">
        <v>1795</v>
      </c>
      <c r="D464" s="20" t="s">
        <v>1795</v>
      </c>
      <c r="E464" s="21"/>
      <c r="F464" s="20"/>
      <c r="G464" s="19" t="s">
        <v>1827</v>
      </c>
      <c r="H464" s="21" t="s">
        <v>1828</v>
      </c>
      <c r="I464" s="21" t="s">
        <v>16</v>
      </c>
      <c r="J464" s="20" t="s">
        <v>1829</v>
      </c>
      <c r="K464" s="20" t="s">
        <v>1830</v>
      </c>
    </row>
    <row r="465" spans="1:11" ht="46" customHeight="1">
      <c r="A465" s="19">
        <v>461</v>
      </c>
      <c r="B465" s="19" t="s">
        <v>1794</v>
      </c>
      <c r="C465" s="20" t="s">
        <v>1795</v>
      </c>
      <c r="D465" s="20" t="s">
        <v>1795</v>
      </c>
      <c r="E465" s="21"/>
      <c r="F465" s="20"/>
      <c r="G465" s="19" t="s">
        <v>1831</v>
      </c>
      <c r="H465" s="21" t="s">
        <v>1832</v>
      </c>
      <c r="I465" s="21" t="s">
        <v>16</v>
      </c>
      <c r="J465" s="20" t="s">
        <v>760</v>
      </c>
      <c r="K465" s="20" t="s">
        <v>1833</v>
      </c>
    </row>
    <row r="466" spans="1:11" ht="46" customHeight="1">
      <c r="A466" s="19">
        <v>462</v>
      </c>
      <c r="B466" s="19" t="s">
        <v>1794</v>
      </c>
      <c r="C466" s="20" t="s">
        <v>1795</v>
      </c>
      <c r="D466" s="20" t="s">
        <v>1795</v>
      </c>
      <c r="E466" s="21"/>
      <c r="F466" s="20"/>
      <c r="G466" s="19" t="s">
        <v>1834</v>
      </c>
      <c r="H466" s="21" t="s">
        <v>1835</v>
      </c>
      <c r="I466" s="21" t="s">
        <v>24</v>
      </c>
      <c r="J466" s="20" t="s">
        <v>1836</v>
      </c>
      <c r="K466" s="20" t="s">
        <v>1837</v>
      </c>
    </row>
    <row r="467" spans="1:11" ht="46" customHeight="1">
      <c r="A467" s="19">
        <v>463</v>
      </c>
      <c r="B467" s="19" t="s">
        <v>1794</v>
      </c>
      <c r="C467" s="20" t="s">
        <v>1795</v>
      </c>
      <c r="D467" s="20" t="s">
        <v>1795</v>
      </c>
      <c r="E467" s="21"/>
      <c r="F467" s="20"/>
      <c r="G467" s="19" t="s">
        <v>1838</v>
      </c>
      <c r="H467" s="21" t="s">
        <v>1839</v>
      </c>
      <c r="I467" s="21" t="s">
        <v>16</v>
      </c>
      <c r="J467" s="20" t="s">
        <v>1840</v>
      </c>
      <c r="K467" s="20" t="s">
        <v>1841</v>
      </c>
    </row>
    <row r="468" spans="1:11" ht="46" customHeight="1">
      <c r="A468" s="19">
        <v>464</v>
      </c>
      <c r="B468" s="19" t="s">
        <v>1794</v>
      </c>
      <c r="C468" s="20" t="s">
        <v>1795</v>
      </c>
      <c r="D468" s="20" t="s">
        <v>1795</v>
      </c>
      <c r="E468" s="21"/>
      <c r="F468" s="20"/>
      <c r="G468" s="19" t="s">
        <v>1842</v>
      </c>
      <c r="H468" s="21" t="s">
        <v>1843</v>
      </c>
      <c r="I468" s="21" t="s">
        <v>16</v>
      </c>
      <c r="J468" s="20" t="s">
        <v>1844</v>
      </c>
      <c r="K468" s="20" t="s">
        <v>1845</v>
      </c>
    </row>
    <row r="469" spans="1:11" ht="46" customHeight="1">
      <c r="A469" s="19">
        <v>465</v>
      </c>
      <c r="B469" s="19" t="s">
        <v>1794</v>
      </c>
      <c r="C469" s="20" t="s">
        <v>1795</v>
      </c>
      <c r="D469" s="20" t="s">
        <v>1795</v>
      </c>
      <c r="E469" s="21"/>
      <c r="F469" s="20"/>
      <c r="G469" s="19" t="s">
        <v>1846</v>
      </c>
      <c r="H469" s="21" t="s">
        <v>1847</v>
      </c>
      <c r="I469" s="21" t="s">
        <v>24</v>
      </c>
      <c r="J469" s="20" t="s">
        <v>1848</v>
      </c>
      <c r="K469" s="20" t="s">
        <v>1849</v>
      </c>
    </row>
    <row r="470" spans="1:11" ht="46" customHeight="1">
      <c r="A470" s="19">
        <v>466</v>
      </c>
      <c r="B470" s="19" t="s">
        <v>1794</v>
      </c>
      <c r="C470" s="20" t="s">
        <v>1795</v>
      </c>
      <c r="D470" s="20" t="s">
        <v>1795</v>
      </c>
      <c r="E470" s="21"/>
      <c r="F470" s="20"/>
      <c r="G470" s="19" t="s">
        <v>1850</v>
      </c>
      <c r="H470" s="21" t="s">
        <v>1851</v>
      </c>
      <c r="I470" s="21" t="s">
        <v>24</v>
      </c>
      <c r="J470" s="20" t="s">
        <v>1852</v>
      </c>
      <c r="K470" s="20" t="s">
        <v>1853</v>
      </c>
    </row>
    <row r="471" spans="1:11" ht="46" customHeight="1">
      <c r="A471" s="19">
        <v>467</v>
      </c>
      <c r="B471" s="19" t="s">
        <v>1794</v>
      </c>
      <c r="C471" s="20" t="s">
        <v>1795</v>
      </c>
      <c r="D471" s="20" t="s">
        <v>1795</v>
      </c>
      <c r="E471" s="21"/>
      <c r="F471" s="20"/>
      <c r="G471" s="19" t="s">
        <v>1854</v>
      </c>
      <c r="H471" s="21" t="s">
        <v>1855</v>
      </c>
      <c r="I471" s="21" t="s">
        <v>24</v>
      </c>
      <c r="J471" s="20" t="s">
        <v>1856</v>
      </c>
      <c r="K471" s="20" t="s">
        <v>1857</v>
      </c>
    </row>
    <row r="472" spans="1:11" ht="46" customHeight="1">
      <c r="A472" s="19">
        <v>468</v>
      </c>
      <c r="B472" s="19" t="s">
        <v>1794</v>
      </c>
      <c r="C472" s="20" t="s">
        <v>1795</v>
      </c>
      <c r="D472" s="20" t="s">
        <v>1795</v>
      </c>
      <c r="E472" s="21"/>
      <c r="F472" s="20"/>
      <c r="G472" s="19" t="s">
        <v>1858</v>
      </c>
      <c r="H472" s="21" t="s">
        <v>1859</v>
      </c>
      <c r="I472" s="21" t="s">
        <v>16</v>
      </c>
      <c r="J472" s="20" t="s">
        <v>1860</v>
      </c>
      <c r="K472" s="20" t="s">
        <v>1861</v>
      </c>
    </row>
    <row r="473" spans="1:11" ht="46" customHeight="1">
      <c r="A473" s="19">
        <v>469</v>
      </c>
      <c r="B473" s="19" t="s">
        <v>1794</v>
      </c>
      <c r="C473" s="20" t="s">
        <v>1795</v>
      </c>
      <c r="D473" s="20" t="s">
        <v>1795</v>
      </c>
      <c r="E473" s="21"/>
      <c r="F473" s="20"/>
      <c r="G473" s="19" t="s">
        <v>1862</v>
      </c>
      <c r="H473" s="21" t="s">
        <v>1863</v>
      </c>
      <c r="I473" s="21" t="s">
        <v>24</v>
      </c>
      <c r="J473" s="20" t="s">
        <v>1864</v>
      </c>
      <c r="K473" s="20" t="s">
        <v>1865</v>
      </c>
    </row>
    <row r="474" spans="1:11" ht="46" customHeight="1">
      <c r="A474" s="19">
        <v>470</v>
      </c>
      <c r="B474" s="19" t="s">
        <v>1794</v>
      </c>
      <c r="C474" s="20" t="s">
        <v>1795</v>
      </c>
      <c r="D474" s="20" t="s">
        <v>1795</v>
      </c>
      <c r="E474" s="21"/>
      <c r="F474" s="20"/>
      <c r="G474" s="19" t="s">
        <v>1866</v>
      </c>
      <c r="H474" s="21" t="s">
        <v>1867</v>
      </c>
      <c r="I474" s="21" t="s">
        <v>16</v>
      </c>
      <c r="J474" s="20" t="s">
        <v>1860</v>
      </c>
      <c r="K474" s="20" t="s">
        <v>1868</v>
      </c>
    </row>
    <row r="475" spans="1:11" ht="46" customHeight="1">
      <c r="A475" s="19">
        <v>471</v>
      </c>
      <c r="B475" s="19" t="s">
        <v>1794</v>
      </c>
      <c r="C475" s="20" t="s">
        <v>1795</v>
      </c>
      <c r="D475" s="20" t="s">
        <v>1795</v>
      </c>
      <c r="E475" s="21"/>
      <c r="F475" s="20"/>
      <c r="G475" s="19" t="s">
        <v>1869</v>
      </c>
      <c r="H475" s="21" t="s">
        <v>1870</v>
      </c>
      <c r="I475" s="21" t="s">
        <v>24</v>
      </c>
      <c r="J475" s="20" t="s">
        <v>1871</v>
      </c>
      <c r="K475" s="20" t="s">
        <v>1872</v>
      </c>
    </row>
    <row r="476" spans="1:11" ht="46" customHeight="1">
      <c r="A476" s="19">
        <v>472</v>
      </c>
      <c r="B476" s="19" t="s">
        <v>1794</v>
      </c>
      <c r="C476" s="20" t="s">
        <v>1795</v>
      </c>
      <c r="D476" s="20" t="s">
        <v>1795</v>
      </c>
      <c r="E476" s="21"/>
      <c r="F476" s="20"/>
      <c r="G476" s="19" t="s">
        <v>1873</v>
      </c>
      <c r="H476" s="21" t="s">
        <v>1874</v>
      </c>
      <c r="I476" s="21" t="s">
        <v>16</v>
      </c>
      <c r="J476" s="20" t="s">
        <v>1875</v>
      </c>
      <c r="K476" s="20" t="s">
        <v>1876</v>
      </c>
    </row>
    <row r="477" spans="1:11" ht="46" customHeight="1">
      <c r="A477" s="19">
        <v>473</v>
      </c>
      <c r="B477" s="19" t="s">
        <v>1794</v>
      </c>
      <c r="C477" s="20" t="s">
        <v>1795</v>
      </c>
      <c r="D477" s="20" t="s">
        <v>1795</v>
      </c>
      <c r="E477" s="21"/>
      <c r="F477" s="20"/>
      <c r="G477" s="19" t="s">
        <v>1877</v>
      </c>
      <c r="H477" s="21" t="s">
        <v>1878</v>
      </c>
      <c r="I477" s="21" t="s">
        <v>24</v>
      </c>
      <c r="J477" s="20" t="s">
        <v>1879</v>
      </c>
      <c r="K477" s="20" t="s">
        <v>1880</v>
      </c>
    </row>
    <row r="478" spans="1:11" ht="46" customHeight="1">
      <c r="A478" s="19">
        <v>474</v>
      </c>
      <c r="B478" s="19" t="s">
        <v>1794</v>
      </c>
      <c r="C478" s="20" t="s">
        <v>1795</v>
      </c>
      <c r="D478" s="20" t="s">
        <v>1795</v>
      </c>
      <c r="E478" s="21"/>
      <c r="F478" s="20"/>
      <c r="G478" s="19" t="s">
        <v>1881</v>
      </c>
      <c r="H478" s="21" t="s">
        <v>1882</v>
      </c>
      <c r="I478" s="21" t="s">
        <v>24</v>
      </c>
      <c r="J478" s="20" t="s">
        <v>1883</v>
      </c>
      <c r="K478" s="20" t="s">
        <v>1884</v>
      </c>
    </row>
    <row r="479" spans="1:11" ht="46" customHeight="1">
      <c r="A479" s="19">
        <v>475</v>
      </c>
      <c r="B479" s="19" t="s">
        <v>1794</v>
      </c>
      <c r="C479" s="20" t="s">
        <v>1795</v>
      </c>
      <c r="D479" s="20" t="s">
        <v>1795</v>
      </c>
      <c r="E479" s="21"/>
      <c r="F479" s="20"/>
      <c r="G479" s="19" t="s">
        <v>1885</v>
      </c>
      <c r="H479" s="21" t="s">
        <v>1886</v>
      </c>
      <c r="I479" s="21" t="s">
        <v>16</v>
      </c>
      <c r="J479" s="20" t="s">
        <v>1887</v>
      </c>
      <c r="K479" s="20" t="s">
        <v>1888</v>
      </c>
    </row>
    <row r="480" spans="1:11" ht="46" customHeight="1">
      <c r="A480" s="19">
        <v>476</v>
      </c>
      <c r="B480" s="19" t="s">
        <v>1794</v>
      </c>
      <c r="C480" s="20" t="s">
        <v>1795</v>
      </c>
      <c r="D480" s="20" t="s">
        <v>1795</v>
      </c>
      <c r="E480" s="21"/>
      <c r="F480" s="20"/>
      <c r="G480" s="19" t="s">
        <v>1889</v>
      </c>
      <c r="H480" s="21" t="s">
        <v>1890</v>
      </c>
      <c r="I480" s="21" t="s">
        <v>16</v>
      </c>
      <c r="J480" s="20" t="s">
        <v>498</v>
      </c>
      <c r="K480" s="20" t="s">
        <v>1891</v>
      </c>
    </row>
    <row r="481" spans="1:11" ht="46" customHeight="1">
      <c r="A481" s="19">
        <v>477</v>
      </c>
      <c r="B481" s="19" t="s">
        <v>1892</v>
      </c>
      <c r="C481" s="20" t="s">
        <v>1893</v>
      </c>
      <c r="D481" s="20" t="s">
        <v>1893</v>
      </c>
      <c r="E481" s="21"/>
      <c r="F481" s="20"/>
      <c r="G481" s="19" t="s">
        <v>1894</v>
      </c>
      <c r="H481" s="21" t="s">
        <v>1895</v>
      </c>
      <c r="I481" s="21" t="s">
        <v>16</v>
      </c>
      <c r="J481" s="20" t="s">
        <v>1896</v>
      </c>
      <c r="K481" s="20" t="s">
        <v>1897</v>
      </c>
    </row>
    <row r="482" spans="1:11" ht="46" customHeight="1">
      <c r="A482" s="19">
        <v>478</v>
      </c>
      <c r="B482" s="19" t="s">
        <v>1892</v>
      </c>
      <c r="C482" s="20" t="s">
        <v>1893</v>
      </c>
      <c r="D482" s="20" t="s">
        <v>1893</v>
      </c>
      <c r="E482" s="21"/>
      <c r="F482" s="20"/>
      <c r="G482" s="19" t="s">
        <v>1898</v>
      </c>
      <c r="H482" s="21" t="s">
        <v>1899</v>
      </c>
      <c r="I482" s="21" t="s">
        <v>16</v>
      </c>
      <c r="J482" s="20" t="s">
        <v>1900</v>
      </c>
      <c r="K482" s="20" t="s">
        <v>1901</v>
      </c>
    </row>
    <row r="483" spans="1:11" ht="46" customHeight="1">
      <c r="A483" s="19">
        <v>479</v>
      </c>
      <c r="B483" s="19" t="s">
        <v>1892</v>
      </c>
      <c r="C483" s="20" t="s">
        <v>1893</v>
      </c>
      <c r="D483" s="20" t="s">
        <v>1893</v>
      </c>
      <c r="E483" s="21"/>
      <c r="F483" s="20"/>
      <c r="G483" s="19" t="s">
        <v>1902</v>
      </c>
      <c r="H483" s="21" t="s">
        <v>1903</v>
      </c>
      <c r="I483" s="21" t="s">
        <v>16</v>
      </c>
      <c r="J483" s="20" t="s">
        <v>1904</v>
      </c>
      <c r="K483" s="20" t="s">
        <v>1905</v>
      </c>
    </row>
    <row r="484" spans="1:11" ht="46" customHeight="1">
      <c r="A484" s="19">
        <v>480</v>
      </c>
      <c r="B484" s="19" t="s">
        <v>1892</v>
      </c>
      <c r="C484" s="20" t="s">
        <v>1893</v>
      </c>
      <c r="D484" s="20" t="s">
        <v>1893</v>
      </c>
      <c r="E484" s="21"/>
      <c r="F484" s="20"/>
      <c r="G484" s="19" t="s">
        <v>1906</v>
      </c>
      <c r="H484" s="21" t="s">
        <v>1907</v>
      </c>
      <c r="I484" s="21" t="s">
        <v>16</v>
      </c>
      <c r="J484" s="20" t="s">
        <v>1908</v>
      </c>
      <c r="K484" s="20" t="s">
        <v>1909</v>
      </c>
    </row>
    <row r="485" spans="1:11" ht="46" customHeight="1">
      <c r="A485" s="19">
        <v>481</v>
      </c>
      <c r="B485" s="19" t="s">
        <v>1892</v>
      </c>
      <c r="C485" s="20" t="s">
        <v>1893</v>
      </c>
      <c r="D485" s="20" t="s">
        <v>1893</v>
      </c>
      <c r="E485" s="21"/>
      <c r="F485" s="20"/>
      <c r="G485" s="19" t="s">
        <v>1910</v>
      </c>
      <c r="H485" s="21" t="s">
        <v>1911</v>
      </c>
      <c r="I485" s="21" t="s">
        <v>16</v>
      </c>
      <c r="J485" s="20" t="s">
        <v>1912</v>
      </c>
      <c r="K485" s="20" t="s">
        <v>1913</v>
      </c>
    </row>
    <row r="486" spans="1:11" ht="46" customHeight="1">
      <c r="A486" s="19">
        <v>482</v>
      </c>
      <c r="B486" s="19" t="s">
        <v>1892</v>
      </c>
      <c r="C486" s="20" t="s">
        <v>1893</v>
      </c>
      <c r="D486" s="20" t="s">
        <v>1893</v>
      </c>
      <c r="E486" s="21"/>
      <c r="F486" s="20"/>
      <c r="G486" s="19" t="s">
        <v>1914</v>
      </c>
      <c r="H486" s="21" t="s">
        <v>1915</v>
      </c>
      <c r="I486" s="21" t="s">
        <v>16</v>
      </c>
      <c r="J486" s="20" t="s">
        <v>1916</v>
      </c>
      <c r="K486" s="20" t="s">
        <v>1917</v>
      </c>
    </row>
    <row r="487" spans="1:11" ht="46" customHeight="1">
      <c r="A487" s="19">
        <v>483</v>
      </c>
      <c r="B487" s="19" t="s">
        <v>1892</v>
      </c>
      <c r="C487" s="20" t="s">
        <v>1893</v>
      </c>
      <c r="D487" s="20" t="s">
        <v>1893</v>
      </c>
      <c r="E487" s="21"/>
      <c r="F487" s="20"/>
      <c r="G487" s="19" t="s">
        <v>1918</v>
      </c>
      <c r="H487" s="21" t="s">
        <v>1919</v>
      </c>
      <c r="I487" s="21" t="s">
        <v>16</v>
      </c>
      <c r="J487" s="20" t="s">
        <v>1920</v>
      </c>
      <c r="K487" s="20" t="s">
        <v>828</v>
      </c>
    </row>
    <row r="488" spans="1:11" ht="46" customHeight="1">
      <c r="A488" s="19">
        <v>484</v>
      </c>
      <c r="B488" s="19" t="s">
        <v>1892</v>
      </c>
      <c r="C488" s="20" t="s">
        <v>1893</v>
      </c>
      <c r="D488" s="20" t="s">
        <v>1893</v>
      </c>
      <c r="E488" s="21"/>
      <c r="F488" s="20"/>
      <c r="G488" s="19" t="s">
        <v>1921</v>
      </c>
      <c r="H488" s="21" t="s">
        <v>1922</v>
      </c>
      <c r="I488" s="21" t="s">
        <v>16</v>
      </c>
      <c r="J488" s="20" t="s">
        <v>1923</v>
      </c>
      <c r="K488" s="20" t="s">
        <v>1924</v>
      </c>
    </row>
    <row r="489" spans="1:11" ht="46" customHeight="1">
      <c r="A489" s="19">
        <v>485</v>
      </c>
      <c r="B489" s="19" t="s">
        <v>1892</v>
      </c>
      <c r="C489" s="20" t="s">
        <v>1893</v>
      </c>
      <c r="D489" s="20" t="s">
        <v>1893</v>
      </c>
      <c r="E489" s="21"/>
      <c r="F489" s="20"/>
      <c r="G489" s="19" t="s">
        <v>1925</v>
      </c>
      <c r="H489" s="21" t="s">
        <v>1926</v>
      </c>
      <c r="I489" s="21" t="s">
        <v>16</v>
      </c>
      <c r="J489" s="20" t="s">
        <v>1927</v>
      </c>
      <c r="K489" s="20" t="s">
        <v>1928</v>
      </c>
    </row>
    <row r="490" spans="1:11" ht="46" customHeight="1">
      <c r="A490" s="19">
        <v>486</v>
      </c>
      <c r="B490" s="19" t="s">
        <v>1892</v>
      </c>
      <c r="C490" s="20" t="s">
        <v>1893</v>
      </c>
      <c r="D490" s="20" t="s">
        <v>1893</v>
      </c>
      <c r="E490" s="21"/>
      <c r="F490" s="20"/>
      <c r="G490" s="19" t="s">
        <v>1929</v>
      </c>
      <c r="H490" s="21" t="s">
        <v>1930</v>
      </c>
      <c r="I490" s="21" t="s">
        <v>16</v>
      </c>
      <c r="J490" s="20" t="s">
        <v>1923</v>
      </c>
      <c r="K490" s="20" t="s">
        <v>1931</v>
      </c>
    </row>
    <row r="491" spans="1:11" ht="46" customHeight="1">
      <c r="A491" s="19">
        <v>487</v>
      </c>
      <c r="B491" s="19" t="s">
        <v>1892</v>
      </c>
      <c r="C491" s="20" t="s">
        <v>1893</v>
      </c>
      <c r="D491" s="20" t="s">
        <v>1893</v>
      </c>
      <c r="E491" s="21"/>
      <c r="F491" s="20"/>
      <c r="G491" s="19" t="s">
        <v>1932</v>
      </c>
      <c r="H491" s="21" t="s">
        <v>1933</v>
      </c>
      <c r="I491" s="21" t="s">
        <v>24</v>
      </c>
      <c r="J491" s="20" t="s">
        <v>1934</v>
      </c>
      <c r="K491" s="20" t="s">
        <v>1935</v>
      </c>
    </row>
    <row r="492" spans="1:11" ht="46" customHeight="1">
      <c r="A492" s="19">
        <v>488</v>
      </c>
      <c r="B492" s="19" t="s">
        <v>1892</v>
      </c>
      <c r="C492" s="20" t="s">
        <v>1893</v>
      </c>
      <c r="D492" s="20" t="s">
        <v>1893</v>
      </c>
      <c r="E492" s="21"/>
      <c r="F492" s="20"/>
      <c r="G492" s="19" t="s">
        <v>1936</v>
      </c>
      <c r="H492" s="21" t="s">
        <v>1937</v>
      </c>
      <c r="I492" s="21" t="s">
        <v>16</v>
      </c>
      <c r="J492" s="20" t="s">
        <v>1250</v>
      </c>
      <c r="K492" s="20" t="s">
        <v>1826</v>
      </c>
    </row>
    <row r="493" spans="1:11" ht="46" customHeight="1">
      <c r="A493" s="19">
        <v>489</v>
      </c>
      <c r="B493" s="19" t="s">
        <v>1892</v>
      </c>
      <c r="C493" s="20" t="s">
        <v>1893</v>
      </c>
      <c r="D493" s="20" t="s">
        <v>1893</v>
      </c>
      <c r="E493" s="21"/>
      <c r="F493" s="20"/>
      <c r="G493" s="19" t="s">
        <v>1938</v>
      </c>
      <c r="H493" s="21" t="s">
        <v>1939</v>
      </c>
      <c r="I493" s="21" t="s">
        <v>16</v>
      </c>
      <c r="J493" s="20" t="s">
        <v>1940</v>
      </c>
      <c r="K493" s="20" t="s">
        <v>1941</v>
      </c>
    </row>
    <row r="494" spans="1:11" ht="46" customHeight="1">
      <c r="A494" s="19">
        <v>490</v>
      </c>
      <c r="B494" s="19" t="s">
        <v>1892</v>
      </c>
      <c r="C494" s="20" t="s">
        <v>1893</v>
      </c>
      <c r="D494" s="20" t="s">
        <v>1893</v>
      </c>
      <c r="E494" s="21"/>
      <c r="F494" s="20"/>
      <c r="G494" s="19" t="s">
        <v>1942</v>
      </c>
      <c r="H494" s="21" t="s">
        <v>1943</v>
      </c>
      <c r="I494" s="21" t="s">
        <v>24</v>
      </c>
      <c r="J494" s="20" t="s">
        <v>1944</v>
      </c>
      <c r="K494" s="20" t="s">
        <v>1945</v>
      </c>
    </row>
    <row r="495" spans="1:11" ht="46" customHeight="1">
      <c r="A495" s="19">
        <v>491</v>
      </c>
      <c r="B495" s="19" t="s">
        <v>1892</v>
      </c>
      <c r="C495" s="20" t="s">
        <v>1893</v>
      </c>
      <c r="D495" s="20" t="s">
        <v>1893</v>
      </c>
      <c r="E495" s="21"/>
      <c r="F495" s="20"/>
      <c r="G495" s="19" t="s">
        <v>1946</v>
      </c>
      <c r="H495" s="21" t="s">
        <v>1947</v>
      </c>
      <c r="I495" s="21" t="s">
        <v>24</v>
      </c>
      <c r="J495" s="20" t="s">
        <v>1948</v>
      </c>
      <c r="K495" s="20" t="s">
        <v>1949</v>
      </c>
    </row>
    <row r="496" spans="1:11" ht="46" customHeight="1">
      <c r="A496" s="19">
        <v>492</v>
      </c>
      <c r="B496" s="19" t="s">
        <v>1892</v>
      </c>
      <c r="C496" s="20" t="s">
        <v>1893</v>
      </c>
      <c r="D496" s="20" t="s">
        <v>1893</v>
      </c>
      <c r="E496" s="21"/>
      <c r="F496" s="20"/>
      <c r="G496" s="19" t="s">
        <v>1950</v>
      </c>
      <c r="H496" s="21" t="s">
        <v>1951</v>
      </c>
      <c r="I496" s="21" t="s">
        <v>24</v>
      </c>
      <c r="J496" s="20" t="s">
        <v>1952</v>
      </c>
      <c r="K496" s="20" t="s">
        <v>1953</v>
      </c>
    </row>
    <row r="497" spans="1:11" ht="46" customHeight="1">
      <c r="A497" s="19">
        <v>493</v>
      </c>
      <c r="B497" s="19" t="s">
        <v>1892</v>
      </c>
      <c r="C497" s="20" t="s">
        <v>1893</v>
      </c>
      <c r="D497" s="20" t="s">
        <v>1893</v>
      </c>
      <c r="E497" s="21"/>
      <c r="F497" s="20"/>
      <c r="G497" s="19" t="s">
        <v>1954</v>
      </c>
      <c r="H497" s="21" t="s">
        <v>1955</v>
      </c>
      <c r="I497" s="21" t="s">
        <v>24</v>
      </c>
      <c r="J497" s="20" t="s">
        <v>1956</v>
      </c>
      <c r="K497" s="20" t="s">
        <v>1957</v>
      </c>
    </row>
    <row r="498" spans="1:11" ht="46" customHeight="1">
      <c r="A498" s="19">
        <v>494</v>
      </c>
      <c r="B498" s="19" t="s">
        <v>1892</v>
      </c>
      <c r="C498" s="20" t="s">
        <v>1893</v>
      </c>
      <c r="D498" s="20" t="s">
        <v>1893</v>
      </c>
      <c r="E498" s="21"/>
      <c r="F498" s="20"/>
      <c r="G498" s="19" t="s">
        <v>1958</v>
      </c>
      <c r="H498" s="21" t="s">
        <v>1959</v>
      </c>
      <c r="I498" s="21" t="s">
        <v>24</v>
      </c>
      <c r="J498" s="20" t="s">
        <v>1960</v>
      </c>
      <c r="K498" s="20" t="s">
        <v>1961</v>
      </c>
    </row>
    <row r="499" spans="1:11" ht="46" customHeight="1">
      <c r="A499" s="19">
        <v>495</v>
      </c>
      <c r="B499" s="19" t="s">
        <v>1892</v>
      </c>
      <c r="C499" s="20" t="s">
        <v>1893</v>
      </c>
      <c r="D499" s="20" t="s">
        <v>1893</v>
      </c>
      <c r="E499" s="21"/>
      <c r="F499" s="20"/>
      <c r="G499" s="19" t="s">
        <v>1962</v>
      </c>
      <c r="H499" s="21" t="s">
        <v>1963</v>
      </c>
      <c r="I499" s="21" t="s">
        <v>24</v>
      </c>
      <c r="J499" s="20" t="s">
        <v>1964</v>
      </c>
      <c r="K499" s="20" t="s">
        <v>1965</v>
      </c>
    </row>
    <row r="500" spans="1:11" ht="46" customHeight="1">
      <c r="A500" s="19">
        <v>496</v>
      </c>
      <c r="B500" s="19" t="s">
        <v>1892</v>
      </c>
      <c r="C500" s="20" t="s">
        <v>1893</v>
      </c>
      <c r="D500" s="20" t="s">
        <v>1893</v>
      </c>
      <c r="E500" s="21"/>
      <c r="F500" s="20"/>
      <c r="G500" s="19" t="s">
        <v>1966</v>
      </c>
      <c r="H500" s="21" t="s">
        <v>1967</v>
      </c>
      <c r="I500" s="21" t="s">
        <v>24</v>
      </c>
      <c r="J500" s="20" t="s">
        <v>1968</v>
      </c>
      <c r="K500" s="20" t="s">
        <v>1969</v>
      </c>
    </row>
    <row r="501" spans="1:11" ht="46" customHeight="1">
      <c r="A501" s="19">
        <v>497</v>
      </c>
      <c r="B501" s="19" t="s">
        <v>1892</v>
      </c>
      <c r="C501" s="20" t="s">
        <v>1893</v>
      </c>
      <c r="D501" s="20" t="s">
        <v>1893</v>
      </c>
      <c r="E501" s="21"/>
      <c r="F501" s="20"/>
      <c r="G501" s="19" t="s">
        <v>1970</v>
      </c>
      <c r="H501" s="21" t="s">
        <v>1971</v>
      </c>
      <c r="I501" s="21" t="s">
        <v>24</v>
      </c>
      <c r="J501" s="20" t="s">
        <v>1972</v>
      </c>
      <c r="K501" s="20" t="s">
        <v>1973</v>
      </c>
    </row>
    <row r="502" spans="1:11" ht="46" customHeight="1">
      <c r="A502" s="19">
        <v>498</v>
      </c>
      <c r="B502" s="19" t="s">
        <v>1892</v>
      </c>
      <c r="C502" s="20" t="s">
        <v>1893</v>
      </c>
      <c r="D502" s="20" t="s">
        <v>1893</v>
      </c>
      <c r="E502" s="21"/>
      <c r="F502" s="20"/>
      <c r="G502" s="19" t="s">
        <v>1974</v>
      </c>
      <c r="H502" s="21" t="s">
        <v>1975</v>
      </c>
      <c r="I502" s="21" t="s">
        <v>24</v>
      </c>
      <c r="J502" s="20" t="s">
        <v>1976</v>
      </c>
      <c r="K502" s="20" t="s">
        <v>1977</v>
      </c>
    </row>
    <row r="503" spans="1:11" ht="46" customHeight="1">
      <c r="A503" s="19">
        <v>499</v>
      </c>
      <c r="B503" s="19" t="s">
        <v>1892</v>
      </c>
      <c r="C503" s="20" t="s">
        <v>1893</v>
      </c>
      <c r="D503" s="20" t="s">
        <v>1893</v>
      </c>
      <c r="E503" s="21"/>
      <c r="F503" s="20"/>
      <c r="G503" s="19" t="s">
        <v>1978</v>
      </c>
      <c r="H503" s="21" t="s">
        <v>1979</v>
      </c>
      <c r="I503" s="21" t="s">
        <v>24</v>
      </c>
      <c r="J503" s="20" t="s">
        <v>1980</v>
      </c>
      <c r="K503" s="20" t="s">
        <v>1981</v>
      </c>
    </row>
    <row r="504" spans="1:11" ht="46" customHeight="1">
      <c r="A504" s="19">
        <v>500</v>
      </c>
      <c r="B504" s="19" t="s">
        <v>1892</v>
      </c>
      <c r="C504" s="20" t="s">
        <v>1893</v>
      </c>
      <c r="D504" s="20" t="s">
        <v>1893</v>
      </c>
      <c r="E504" s="21"/>
      <c r="F504" s="20"/>
      <c r="G504" s="19" t="s">
        <v>1982</v>
      </c>
      <c r="H504" s="21" t="s">
        <v>1983</v>
      </c>
      <c r="I504" s="21" t="s">
        <v>24</v>
      </c>
      <c r="J504" s="20" t="s">
        <v>1984</v>
      </c>
      <c r="K504" s="20" t="s">
        <v>1985</v>
      </c>
    </row>
    <row r="505" spans="1:11" ht="46" customHeight="1">
      <c r="A505" s="19">
        <v>501</v>
      </c>
      <c r="B505" s="19" t="s">
        <v>1892</v>
      </c>
      <c r="C505" s="20" t="s">
        <v>1893</v>
      </c>
      <c r="D505" s="20" t="s">
        <v>1893</v>
      </c>
      <c r="E505" s="21"/>
      <c r="F505" s="20"/>
      <c r="G505" s="19" t="s">
        <v>1986</v>
      </c>
      <c r="H505" s="21" t="s">
        <v>1987</v>
      </c>
      <c r="I505" s="21" t="s">
        <v>24</v>
      </c>
      <c r="J505" s="20" t="s">
        <v>1988</v>
      </c>
      <c r="K505" s="20" t="s">
        <v>1989</v>
      </c>
    </row>
    <row r="506" spans="1:11" ht="46" customHeight="1">
      <c r="A506" s="19">
        <v>502</v>
      </c>
      <c r="B506" s="19" t="s">
        <v>1892</v>
      </c>
      <c r="C506" s="20" t="s">
        <v>1893</v>
      </c>
      <c r="D506" s="20" t="s">
        <v>1893</v>
      </c>
      <c r="E506" s="21"/>
      <c r="F506" s="20"/>
      <c r="G506" s="19" t="s">
        <v>1990</v>
      </c>
      <c r="H506" s="21" t="s">
        <v>1991</v>
      </c>
      <c r="I506" s="21" t="s">
        <v>16</v>
      </c>
      <c r="J506" s="20" t="s">
        <v>1992</v>
      </c>
      <c r="K506" s="20" t="s">
        <v>1872</v>
      </c>
    </row>
    <row r="507" spans="1:11" ht="46" customHeight="1">
      <c r="A507" s="19">
        <v>503</v>
      </c>
      <c r="B507" s="19" t="s">
        <v>1892</v>
      </c>
      <c r="C507" s="20" t="s">
        <v>1893</v>
      </c>
      <c r="D507" s="20" t="s">
        <v>1893</v>
      </c>
      <c r="E507" s="21"/>
      <c r="F507" s="20"/>
      <c r="G507" s="19" t="s">
        <v>1993</v>
      </c>
      <c r="H507" s="21" t="s">
        <v>1994</v>
      </c>
      <c r="I507" s="21" t="s">
        <v>24</v>
      </c>
      <c r="J507" s="20" t="s">
        <v>1995</v>
      </c>
      <c r="K507" s="20" t="s">
        <v>1996</v>
      </c>
    </row>
    <row r="508" spans="1:11" ht="46" customHeight="1">
      <c r="A508" s="19">
        <v>504</v>
      </c>
      <c r="B508" s="19" t="s">
        <v>1892</v>
      </c>
      <c r="C508" s="20" t="s">
        <v>1893</v>
      </c>
      <c r="D508" s="20" t="s">
        <v>1893</v>
      </c>
      <c r="E508" s="21"/>
      <c r="F508" s="20"/>
      <c r="G508" s="19" t="s">
        <v>1997</v>
      </c>
      <c r="H508" s="21" t="s">
        <v>1998</v>
      </c>
      <c r="I508" s="21" t="s">
        <v>16</v>
      </c>
      <c r="J508" s="20" t="s">
        <v>1999</v>
      </c>
      <c r="K508" s="20" t="s">
        <v>2000</v>
      </c>
    </row>
    <row r="509" spans="1:11" ht="46" customHeight="1">
      <c r="A509" s="19">
        <v>505</v>
      </c>
      <c r="B509" s="19" t="s">
        <v>1892</v>
      </c>
      <c r="C509" s="20" t="s">
        <v>1893</v>
      </c>
      <c r="D509" s="20" t="s">
        <v>1893</v>
      </c>
      <c r="E509" s="21"/>
      <c r="F509" s="20"/>
      <c r="G509" s="19" t="s">
        <v>2001</v>
      </c>
      <c r="H509" s="21" t="s">
        <v>2002</v>
      </c>
      <c r="I509" s="21" t="s">
        <v>24</v>
      </c>
      <c r="J509" s="20" t="s">
        <v>2003</v>
      </c>
      <c r="K509" s="20" t="s">
        <v>2004</v>
      </c>
    </row>
    <row r="510" spans="1:11" ht="46" customHeight="1">
      <c r="A510" s="19">
        <v>506</v>
      </c>
      <c r="B510" s="19" t="s">
        <v>1892</v>
      </c>
      <c r="C510" s="20" t="s">
        <v>1893</v>
      </c>
      <c r="D510" s="20" t="s">
        <v>1893</v>
      </c>
      <c r="E510" s="21"/>
      <c r="F510" s="20"/>
      <c r="G510" s="19" t="s">
        <v>2005</v>
      </c>
      <c r="H510" s="21" t="s">
        <v>2006</v>
      </c>
      <c r="I510" s="21" t="s">
        <v>16</v>
      </c>
      <c r="J510" s="20" t="s">
        <v>498</v>
      </c>
      <c r="K510" s="20" t="s">
        <v>2007</v>
      </c>
    </row>
    <row r="511" spans="1:11" ht="46" customHeight="1">
      <c r="A511" s="19">
        <v>507</v>
      </c>
      <c r="B511" s="19" t="s">
        <v>2008</v>
      </c>
      <c r="C511" s="20" t="s">
        <v>2009</v>
      </c>
      <c r="D511" s="20" t="s">
        <v>2009</v>
      </c>
      <c r="E511" s="21"/>
      <c r="F511" s="20"/>
      <c r="G511" s="19" t="s">
        <v>2010</v>
      </c>
      <c r="H511" s="21" t="s">
        <v>2011</v>
      </c>
      <c r="I511" s="21" t="s">
        <v>2012</v>
      </c>
      <c r="J511" s="20" t="s">
        <v>2013</v>
      </c>
      <c r="K511" s="20" t="s">
        <v>2014</v>
      </c>
    </row>
    <row r="512" spans="1:11" ht="46" customHeight="1">
      <c r="A512" s="19">
        <v>508</v>
      </c>
      <c r="B512" s="19" t="s">
        <v>2008</v>
      </c>
      <c r="C512" s="20" t="s">
        <v>2009</v>
      </c>
      <c r="D512" s="20" t="s">
        <v>2009</v>
      </c>
      <c r="E512" s="21"/>
      <c r="F512" s="20"/>
      <c r="G512" s="19" t="s">
        <v>2015</v>
      </c>
      <c r="H512" s="21" t="s">
        <v>2016</v>
      </c>
      <c r="I512" s="21" t="s">
        <v>2012</v>
      </c>
      <c r="J512" s="20" t="s">
        <v>2017</v>
      </c>
      <c r="K512" s="20" t="s">
        <v>2018</v>
      </c>
    </row>
    <row r="513" spans="1:11" ht="46" customHeight="1">
      <c r="A513" s="19">
        <v>509</v>
      </c>
      <c r="B513" s="19" t="s">
        <v>2008</v>
      </c>
      <c r="C513" s="20" t="s">
        <v>2009</v>
      </c>
      <c r="D513" s="20" t="s">
        <v>2009</v>
      </c>
      <c r="E513" s="21"/>
      <c r="F513" s="20"/>
      <c r="G513" s="19" t="s">
        <v>2019</v>
      </c>
      <c r="H513" s="21" t="s">
        <v>2020</v>
      </c>
      <c r="I513" s="21" t="s">
        <v>24</v>
      </c>
      <c r="J513" s="20" t="s">
        <v>2021</v>
      </c>
      <c r="K513" s="20" t="s">
        <v>2022</v>
      </c>
    </row>
    <row r="514" spans="1:11" ht="46" customHeight="1">
      <c r="A514" s="19">
        <v>510</v>
      </c>
      <c r="B514" s="19" t="s">
        <v>2008</v>
      </c>
      <c r="C514" s="20" t="s">
        <v>2009</v>
      </c>
      <c r="D514" s="20" t="s">
        <v>2009</v>
      </c>
      <c r="E514" s="21"/>
      <c r="F514" s="20"/>
      <c r="G514" s="19" t="s">
        <v>2023</v>
      </c>
      <c r="H514" s="21" t="s">
        <v>2024</v>
      </c>
      <c r="I514" s="21" t="s">
        <v>24</v>
      </c>
      <c r="J514" s="20" t="s">
        <v>2025</v>
      </c>
      <c r="K514" s="20" t="s">
        <v>2026</v>
      </c>
    </row>
    <row r="515" spans="1:11" ht="46" customHeight="1">
      <c r="A515" s="19">
        <v>511</v>
      </c>
      <c r="B515" s="19" t="s">
        <v>2008</v>
      </c>
      <c r="C515" s="20" t="s">
        <v>2009</v>
      </c>
      <c r="D515" s="20" t="s">
        <v>2009</v>
      </c>
      <c r="E515" s="21"/>
      <c r="F515" s="20"/>
      <c r="G515" s="19" t="s">
        <v>2027</v>
      </c>
      <c r="H515" s="21" t="s">
        <v>2028</v>
      </c>
      <c r="I515" s="21" t="s">
        <v>24</v>
      </c>
      <c r="J515" s="20" t="s">
        <v>2029</v>
      </c>
      <c r="K515" s="20" t="s">
        <v>2030</v>
      </c>
    </row>
    <row r="516" spans="1:11" ht="46" customHeight="1">
      <c r="A516" s="19">
        <v>512</v>
      </c>
      <c r="B516" s="19" t="s">
        <v>2008</v>
      </c>
      <c r="C516" s="20" t="s">
        <v>2009</v>
      </c>
      <c r="D516" s="20" t="s">
        <v>2009</v>
      </c>
      <c r="E516" s="21"/>
      <c r="F516" s="20"/>
      <c r="G516" s="19" t="s">
        <v>2031</v>
      </c>
      <c r="H516" s="21" t="s">
        <v>2032</v>
      </c>
      <c r="I516" s="21" t="s">
        <v>24</v>
      </c>
      <c r="J516" s="20" t="s">
        <v>2017</v>
      </c>
      <c r="K516" s="20" t="s">
        <v>2033</v>
      </c>
    </row>
    <row r="517" spans="1:11" ht="46" customHeight="1">
      <c r="A517" s="19">
        <v>513</v>
      </c>
      <c r="B517" s="19" t="s">
        <v>2008</v>
      </c>
      <c r="C517" s="20" t="s">
        <v>2009</v>
      </c>
      <c r="D517" s="20" t="s">
        <v>2009</v>
      </c>
      <c r="E517" s="21"/>
      <c r="F517" s="20"/>
      <c r="G517" s="19" t="s">
        <v>2034</v>
      </c>
      <c r="H517" s="21" t="s">
        <v>2035</v>
      </c>
      <c r="I517" s="21" t="s">
        <v>16</v>
      </c>
      <c r="J517" s="20" t="s">
        <v>2036</v>
      </c>
      <c r="K517" s="20" t="s">
        <v>2037</v>
      </c>
    </row>
    <row r="518" spans="1:11" ht="46" customHeight="1">
      <c r="A518" s="19">
        <v>514</v>
      </c>
      <c r="B518" s="19" t="s">
        <v>2008</v>
      </c>
      <c r="C518" s="20" t="s">
        <v>2009</v>
      </c>
      <c r="D518" s="20" t="s">
        <v>2009</v>
      </c>
      <c r="E518" s="21"/>
      <c r="F518" s="20"/>
      <c r="G518" s="19" t="s">
        <v>2038</v>
      </c>
      <c r="H518" s="21" t="s">
        <v>2039</v>
      </c>
      <c r="I518" s="21" t="s">
        <v>16</v>
      </c>
      <c r="J518" s="20" t="s">
        <v>2040</v>
      </c>
      <c r="K518" s="20" t="s">
        <v>2041</v>
      </c>
    </row>
    <row r="519" spans="1:11" ht="46" customHeight="1">
      <c r="A519" s="19">
        <v>515</v>
      </c>
      <c r="B519" s="19" t="s">
        <v>2008</v>
      </c>
      <c r="C519" s="20" t="s">
        <v>2009</v>
      </c>
      <c r="D519" s="20" t="s">
        <v>2009</v>
      </c>
      <c r="E519" s="21"/>
      <c r="F519" s="20"/>
      <c r="G519" s="19" t="s">
        <v>2042</v>
      </c>
      <c r="H519" s="21" t="s">
        <v>2043</v>
      </c>
      <c r="I519" s="21" t="s">
        <v>24</v>
      </c>
      <c r="J519" s="20" t="s">
        <v>2044</v>
      </c>
      <c r="K519" s="20" t="s">
        <v>2045</v>
      </c>
    </row>
    <row r="520" spans="1:11" ht="46" customHeight="1">
      <c r="A520" s="19">
        <v>516</v>
      </c>
      <c r="B520" s="19" t="s">
        <v>2008</v>
      </c>
      <c r="C520" s="20" t="s">
        <v>2009</v>
      </c>
      <c r="D520" s="20" t="s">
        <v>2009</v>
      </c>
      <c r="E520" s="21"/>
      <c r="F520" s="20"/>
      <c r="G520" s="19" t="s">
        <v>2046</v>
      </c>
      <c r="H520" s="21" t="s">
        <v>2047</v>
      </c>
      <c r="I520" s="21" t="s">
        <v>16</v>
      </c>
      <c r="J520" s="20" t="s">
        <v>2048</v>
      </c>
      <c r="K520" s="20" t="s">
        <v>2049</v>
      </c>
    </row>
    <row r="521" spans="1:11" ht="46" customHeight="1">
      <c r="A521" s="19">
        <v>517</v>
      </c>
      <c r="B521" s="19" t="s">
        <v>2008</v>
      </c>
      <c r="C521" s="20" t="s">
        <v>2009</v>
      </c>
      <c r="D521" s="20" t="s">
        <v>2009</v>
      </c>
      <c r="E521" s="21"/>
      <c r="F521" s="20"/>
      <c r="G521" s="19" t="s">
        <v>2050</v>
      </c>
      <c r="H521" s="21" t="s">
        <v>2051</v>
      </c>
      <c r="I521" s="21" t="s">
        <v>24</v>
      </c>
      <c r="J521" s="20" t="s">
        <v>2052</v>
      </c>
      <c r="K521" s="20" t="s">
        <v>2053</v>
      </c>
    </row>
    <row r="522" spans="1:11" ht="46" customHeight="1">
      <c r="A522" s="19">
        <v>518</v>
      </c>
      <c r="B522" s="19" t="s">
        <v>2008</v>
      </c>
      <c r="C522" s="20" t="s">
        <v>2009</v>
      </c>
      <c r="D522" s="20" t="s">
        <v>2009</v>
      </c>
      <c r="E522" s="21"/>
      <c r="F522" s="20"/>
      <c r="G522" s="19" t="s">
        <v>2054</v>
      </c>
      <c r="H522" s="21" t="s">
        <v>2055</v>
      </c>
      <c r="I522" s="21" t="s">
        <v>24</v>
      </c>
      <c r="J522" s="20" t="s">
        <v>2056</v>
      </c>
      <c r="K522" s="20" t="s">
        <v>2057</v>
      </c>
    </row>
    <row r="523" spans="1:11" ht="46" customHeight="1">
      <c r="A523" s="19">
        <v>519</v>
      </c>
      <c r="B523" s="19" t="s">
        <v>2008</v>
      </c>
      <c r="C523" s="20" t="s">
        <v>2009</v>
      </c>
      <c r="D523" s="20" t="s">
        <v>2009</v>
      </c>
      <c r="E523" s="21"/>
      <c r="F523" s="20"/>
      <c r="G523" s="19" t="s">
        <v>2058</v>
      </c>
      <c r="H523" s="21" t="s">
        <v>2059</v>
      </c>
      <c r="I523" s="21" t="s">
        <v>16</v>
      </c>
      <c r="J523" s="20" t="s">
        <v>2060</v>
      </c>
      <c r="K523" s="20" t="s">
        <v>2061</v>
      </c>
    </row>
    <row r="524" spans="1:11" ht="46" customHeight="1">
      <c r="A524" s="19">
        <v>520</v>
      </c>
      <c r="B524" s="19" t="s">
        <v>2008</v>
      </c>
      <c r="C524" s="20" t="s">
        <v>2009</v>
      </c>
      <c r="D524" s="20" t="s">
        <v>2009</v>
      </c>
      <c r="E524" s="21"/>
      <c r="F524" s="20"/>
      <c r="G524" s="19" t="s">
        <v>2062</v>
      </c>
      <c r="H524" s="21" t="s">
        <v>2063</v>
      </c>
      <c r="I524" s="21" t="s">
        <v>24</v>
      </c>
      <c r="J524" s="20" t="s">
        <v>1574</v>
      </c>
      <c r="K524" s="20" t="s">
        <v>2064</v>
      </c>
    </row>
    <row r="525" spans="1:11" ht="46" customHeight="1">
      <c r="A525" s="19">
        <v>521</v>
      </c>
      <c r="B525" s="19" t="s">
        <v>2008</v>
      </c>
      <c r="C525" s="20" t="s">
        <v>2009</v>
      </c>
      <c r="D525" s="20" t="s">
        <v>2009</v>
      </c>
      <c r="E525" s="21"/>
      <c r="F525" s="20"/>
      <c r="G525" s="19" t="s">
        <v>2065</v>
      </c>
      <c r="H525" s="21" t="s">
        <v>2066</v>
      </c>
      <c r="I525" s="21" t="s">
        <v>24</v>
      </c>
      <c r="J525" s="20" t="s">
        <v>1531</v>
      </c>
      <c r="K525" s="20" t="s">
        <v>2067</v>
      </c>
    </row>
    <row r="526" spans="1:11" ht="46" customHeight="1">
      <c r="A526" s="19">
        <v>522</v>
      </c>
      <c r="B526" s="19" t="s">
        <v>2008</v>
      </c>
      <c r="C526" s="20" t="s">
        <v>2009</v>
      </c>
      <c r="D526" s="20" t="s">
        <v>2009</v>
      </c>
      <c r="E526" s="21"/>
      <c r="F526" s="20"/>
      <c r="G526" s="19" t="s">
        <v>2068</v>
      </c>
      <c r="H526" s="21" t="s">
        <v>2069</v>
      </c>
      <c r="I526" s="21" t="s">
        <v>24</v>
      </c>
      <c r="J526" s="20" t="s">
        <v>2070</v>
      </c>
      <c r="K526" s="20" t="s">
        <v>2071</v>
      </c>
    </row>
    <row r="527" spans="1:11" ht="46" customHeight="1">
      <c r="A527" s="19">
        <v>523</v>
      </c>
      <c r="B527" s="19" t="s">
        <v>2008</v>
      </c>
      <c r="C527" s="20" t="s">
        <v>2009</v>
      </c>
      <c r="D527" s="20" t="s">
        <v>2009</v>
      </c>
      <c r="E527" s="21"/>
      <c r="F527" s="20"/>
      <c r="G527" s="19" t="s">
        <v>2072</v>
      </c>
      <c r="H527" s="21" t="s">
        <v>2073</v>
      </c>
      <c r="I527" s="21" t="s">
        <v>24</v>
      </c>
      <c r="J527" s="20" t="s">
        <v>2074</v>
      </c>
      <c r="K527" s="20" t="s">
        <v>2075</v>
      </c>
    </row>
    <row r="528" spans="1:11" ht="46" customHeight="1">
      <c r="A528" s="19">
        <v>524</v>
      </c>
      <c r="B528" s="19" t="s">
        <v>2008</v>
      </c>
      <c r="C528" s="20" t="s">
        <v>2009</v>
      </c>
      <c r="D528" s="20" t="s">
        <v>2009</v>
      </c>
      <c r="E528" s="21"/>
      <c r="F528" s="20"/>
      <c r="G528" s="19" t="s">
        <v>2076</v>
      </c>
      <c r="H528" s="21" t="s">
        <v>2077</v>
      </c>
      <c r="I528" s="21" t="s">
        <v>24</v>
      </c>
      <c r="J528" s="20" t="s">
        <v>2078</v>
      </c>
      <c r="K528" s="20" t="s">
        <v>2079</v>
      </c>
    </row>
    <row r="529" spans="1:11" ht="46" customHeight="1">
      <c r="A529" s="19">
        <v>525</v>
      </c>
      <c r="B529" s="19" t="s">
        <v>2008</v>
      </c>
      <c r="C529" s="20" t="s">
        <v>2009</v>
      </c>
      <c r="D529" s="20" t="s">
        <v>2009</v>
      </c>
      <c r="E529" s="21"/>
      <c r="F529" s="20"/>
      <c r="G529" s="19" t="s">
        <v>2080</v>
      </c>
      <c r="H529" s="21" t="s">
        <v>2081</v>
      </c>
      <c r="I529" s="21" t="s">
        <v>16</v>
      </c>
      <c r="J529" s="20" t="s">
        <v>1130</v>
      </c>
      <c r="K529" s="20" t="s">
        <v>2082</v>
      </c>
    </row>
    <row r="530" spans="1:11" ht="46" customHeight="1">
      <c r="A530" s="19">
        <v>526</v>
      </c>
      <c r="B530" s="19" t="s">
        <v>2008</v>
      </c>
      <c r="C530" s="20" t="s">
        <v>2009</v>
      </c>
      <c r="D530" s="20" t="s">
        <v>2009</v>
      </c>
      <c r="E530" s="21"/>
      <c r="F530" s="20"/>
      <c r="G530" s="19" t="s">
        <v>2083</v>
      </c>
      <c r="H530" s="21" t="s">
        <v>2084</v>
      </c>
      <c r="I530" s="21" t="s">
        <v>24</v>
      </c>
      <c r="J530" s="20" t="s">
        <v>2085</v>
      </c>
      <c r="K530" s="20" t="s">
        <v>2086</v>
      </c>
    </row>
    <row r="531" spans="1:11" ht="46" customHeight="1">
      <c r="A531" s="19">
        <v>527</v>
      </c>
      <c r="B531" s="19" t="s">
        <v>2008</v>
      </c>
      <c r="C531" s="20" t="s">
        <v>2009</v>
      </c>
      <c r="D531" s="20" t="s">
        <v>2009</v>
      </c>
      <c r="E531" s="21"/>
      <c r="F531" s="20"/>
      <c r="G531" s="19" t="s">
        <v>2087</v>
      </c>
      <c r="H531" s="21" t="s">
        <v>2088</v>
      </c>
      <c r="I531" s="21" t="s">
        <v>24</v>
      </c>
      <c r="J531" s="20" t="s">
        <v>446</v>
      </c>
      <c r="K531" s="20" t="s">
        <v>2089</v>
      </c>
    </row>
    <row r="532" spans="1:11" ht="46" customHeight="1">
      <c r="A532" s="19">
        <v>528</v>
      </c>
      <c r="B532" s="19" t="s">
        <v>2008</v>
      </c>
      <c r="C532" s="20" t="s">
        <v>2009</v>
      </c>
      <c r="D532" s="20" t="s">
        <v>2009</v>
      </c>
      <c r="E532" s="21"/>
      <c r="F532" s="20"/>
      <c r="G532" s="19" t="s">
        <v>2090</v>
      </c>
      <c r="H532" s="21" t="s">
        <v>2091</v>
      </c>
      <c r="I532" s="21" t="s">
        <v>24</v>
      </c>
      <c r="J532" s="20" t="s">
        <v>482</v>
      </c>
      <c r="K532" s="20" t="s">
        <v>2092</v>
      </c>
    </row>
    <row r="533" spans="1:11" ht="46" customHeight="1">
      <c r="A533" s="19">
        <v>529</v>
      </c>
      <c r="B533" s="19" t="s">
        <v>2008</v>
      </c>
      <c r="C533" s="20" t="s">
        <v>2009</v>
      </c>
      <c r="D533" s="20" t="s">
        <v>2009</v>
      </c>
      <c r="E533" s="21"/>
      <c r="F533" s="20"/>
      <c r="G533" s="19" t="s">
        <v>2093</v>
      </c>
      <c r="H533" s="21" t="s">
        <v>2094</v>
      </c>
      <c r="I533" s="21" t="s">
        <v>16</v>
      </c>
      <c r="J533" s="20" t="s">
        <v>2095</v>
      </c>
      <c r="K533" s="20" t="s">
        <v>2096</v>
      </c>
    </row>
    <row r="534" spans="1:11" ht="46" customHeight="1">
      <c r="A534" s="19">
        <v>530</v>
      </c>
      <c r="B534" s="19" t="s">
        <v>2008</v>
      </c>
      <c r="C534" s="20" t="s">
        <v>2009</v>
      </c>
      <c r="D534" s="20" t="s">
        <v>2009</v>
      </c>
      <c r="E534" s="21"/>
      <c r="F534" s="20"/>
      <c r="G534" s="19" t="s">
        <v>2097</v>
      </c>
      <c r="H534" s="21" t="s">
        <v>2098</v>
      </c>
      <c r="I534" s="21" t="s">
        <v>16</v>
      </c>
      <c r="J534" s="20" t="s">
        <v>2099</v>
      </c>
      <c r="K534" s="20" t="s">
        <v>2100</v>
      </c>
    </row>
    <row r="535" spans="1:11" ht="46" customHeight="1">
      <c r="A535" s="19">
        <v>531</v>
      </c>
      <c r="B535" s="19" t="s">
        <v>2008</v>
      </c>
      <c r="C535" s="20" t="s">
        <v>2009</v>
      </c>
      <c r="D535" s="20" t="s">
        <v>2009</v>
      </c>
      <c r="E535" s="21"/>
      <c r="F535" s="20"/>
      <c r="G535" s="19" t="s">
        <v>2101</v>
      </c>
      <c r="H535" s="21" t="s">
        <v>2102</v>
      </c>
      <c r="I535" s="21" t="s">
        <v>24</v>
      </c>
      <c r="J535" s="20" t="s">
        <v>2103</v>
      </c>
      <c r="K535" s="20" t="s">
        <v>2104</v>
      </c>
    </row>
    <row r="536" spans="1:11" ht="46" customHeight="1">
      <c r="A536" s="19">
        <v>532</v>
      </c>
      <c r="B536" s="19" t="s">
        <v>2105</v>
      </c>
      <c r="C536" s="20" t="s">
        <v>2106</v>
      </c>
      <c r="D536" s="20" t="s">
        <v>2106</v>
      </c>
      <c r="E536" s="21"/>
      <c r="F536" s="20"/>
      <c r="G536" s="19" t="s">
        <v>2107</v>
      </c>
      <c r="H536" s="21" t="s">
        <v>2108</v>
      </c>
      <c r="I536" s="21" t="s">
        <v>2109</v>
      </c>
      <c r="J536" s="20" t="s">
        <v>181</v>
      </c>
      <c r="K536" s="20" t="s">
        <v>2110</v>
      </c>
    </row>
    <row r="537" spans="1:11" ht="46" customHeight="1">
      <c r="A537" s="19">
        <v>533</v>
      </c>
      <c r="B537" s="19" t="s">
        <v>2105</v>
      </c>
      <c r="C537" s="20" t="s">
        <v>2106</v>
      </c>
      <c r="D537" s="20" t="s">
        <v>2106</v>
      </c>
      <c r="E537" s="21"/>
      <c r="F537" s="20"/>
      <c r="G537" s="19" t="s">
        <v>2111</v>
      </c>
      <c r="H537" s="21" t="s">
        <v>2112</v>
      </c>
      <c r="I537" s="21" t="s">
        <v>2109</v>
      </c>
      <c r="J537" s="20" t="s">
        <v>2113</v>
      </c>
      <c r="K537" s="20" t="s">
        <v>2114</v>
      </c>
    </row>
    <row r="538" spans="1:11" ht="46" customHeight="1">
      <c r="A538" s="19">
        <v>534</v>
      </c>
      <c r="B538" s="19" t="s">
        <v>2105</v>
      </c>
      <c r="C538" s="20" t="s">
        <v>2106</v>
      </c>
      <c r="D538" s="20" t="s">
        <v>2106</v>
      </c>
      <c r="E538" s="21"/>
      <c r="F538" s="20"/>
      <c r="G538" s="19" t="s">
        <v>2115</v>
      </c>
      <c r="H538" s="21" t="s">
        <v>2116</v>
      </c>
      <c r="I538" s="21" t="s">
        <v>2109</v>
      </c>
      <c r="J538" s="20" t="s">
        <v>2113</v>
      </c>
      <c r="K538" s="20" t="s">
        <v>2117</v>
      </c>
    </row>
    <row r="539" spans="1:11" ht="46" customHeight="1">
      <c r="A539" s="19">
        <v>535</v>
      </c>
      <c r="B539" s="19" t="s">
        <v>2105</v>
      </c>
      <c r="C539" s="20" t="s">
        <v>2106</v>
      </c>
      <c r="D539" s="20" t="s">
        <v>2106</v>
      </c>
      <c r="E539" s="21"/>
      <c r="F539" s="20"/>
      <c r="G539" s="19" t="s">
        <v>2118</v>
      </c>
      <c r="H539" s="21" t="s">
        <v>2119</v>
      </c>
      <c r="I539" s="21" t="s">
        <v>24</v>
      </c>
      <c r="J539" s="20" t="s">
        <v>2120</v>
      </c>
      <c r="K539" s="20" t="s">
        <v>2121</v>
      </c>
    </row>
    <row r="540" spans="1:11" ht="46" customHeight="1">
      <c r="A540" s="19">
        <v>536</v>
      </c>
      <c r="B540" s="19" t="s">
        <v>2105</v>
      </c>
      <c r="C540" s="20" t="s">
        <v>2106</v>
      </c>
      <c r="D540" s="20" t="s">
        <v>2106</v>
      </c>
      <c r="E540" s="21"/>
      <c r="F540" s="20"/>
      <c r="G540" s="19" t="s">
        <v>2122</v>
      </c>
      <c r="H540" s="21" t="s">
        <v>2123</v>
      </c>
      <c r="I540" s="21" t="s">
        <v>16</v>
      </c>
      <c r="J540" s="20" t="s">
        <v>2124</v>
      </c>
      <c r="K540" s="20" t="s">
        <v>2125</v>
      </c>
    </row>
    <row r="541" spans="1:11" ht="46" customHeight="1">
      <c r="A541" s="19">
        <v>537</v>
      </c>
      <c r="B541" s="19" t="s">
        <v>2105</v>
      </c>
      <c r="C541" s="20" t="s">
        <v>2106</v>
      </c>
      <c r="D541" s="20" t="s">
        <v>2106</v>
      </c>
      <c r="E541" s="21"/>
      <c r="F541" s="20"/>
      <c r="G541" s="19" t="s">
        <v>2126</v>
      </c>
      <c r="H541" s="21" t="s">
        <v>2127</v>
      </c>
      <c r="I541" s="21" t="s">
        <v>16</v>
      </c>
      <c r="J541" s="20" t="s">
        <v>2128</v>
      </c>
      <c r="K541" s="20" t="s">
        <v>2129</v>
      </c>
    </row>
    <row r="542" spans="1:11" ht="46" customHeight="1">
      <c r="A542" s="19">
        <v>538</v>
      </c>
      <c r="B542" s="19" t="s">
        <v>2105</v>
      </c>
      <c r="C542" s="20" t="s">
        <v>2106</v>
      </c>
      <c r="D542" s="20" t="s">
        <v>2106</v>
      </c>
      <c r="E542" s="21"/>
      <c r="F542" s="20"/>
      <c r="G542" s="19" t="s">
        <v>2130</v>
      </c>
      <c r="H542" s="21" t="s">
        <v>2131</v>
      </c>
      <c r="I542" s="21" t="s">
        <v>16</v>
      </c>
      <c r="J542" s="20" t="s">
        <v>62</v>
      </c>
      <c r="K542" s="20" t="s">
        <v>2132</v>
      </c>
    </row>
    <row r="543" spans="1:11" ht="46" customHeight="1">
      <c r="A543" s="19">
        <v>539</v>
      </c>
      <c r="B543" s="19" t="s">
        <v>2105</v>
      </c>
      <c r="C543" s="20" t="s">
        <v>2106</v>
      </c>
      <c r="D543" s="20" t="s">
        <v>2106</v>
      </c>
      <c r="E543" s="21"/>
      <c r="F543" s="20"/>
      <c r="G543" s="19" t="s">
        <v>2133</v>
      </c>
      <c r="H543" s="21" t="s">
        <v>2134</v>
      </c>
      <c r="I543" s="21" t="s">
        <v>16</v>
      </c>
      <c r="J543" s="20" t="s">
        <v>2135</v>
      </c>
      <c r="K543" s="20" t="s">
        <v>2136</v>
      </c>
    </row>
    <row r="544" spans="1:11" ht="46" customHeight="1">
      <c r="A544" s="19">
        <v>540</v>
      </c>
      <c r="B544" s="19" t="s">
        <v>2105</v>
      </c>
      <c r="C544" s="20" t="s">
        <v>2106</v>
      </c>
      <c r="D544" s="20" t="s">
        <v>2106</v>
      </c>
      <c r="E544" s="21"/>
      <c r="F544" s="20"/>
      <c r="G544" s="19" t="s">
        <v>2137</v>
      </c>
      <c r="H544" s="21" t="s">
        <v>2138</v>
      </c>
      <c r="I544" s="21" t="s">
        <v>16</v>
      </c>
      <c r="J544" s="20" t="s">
        <v>2139</v>
      </c>
      <c r="K544" s="20" t="s">
        <v>2140</v>
      </c>
    </row>
    <row r="545" spans="1:11" ht="46" customHeight="1">
      <c r="A545" s="19">
        <v>541</v>
      </c>
      <c r="B545" s="19" t="s">
        <v>2105</v>
      </c>
      <c r="C545" s="20" t="s">
        <v>2106</v>
      </c>
      <c r="D545" s="20" t="s">
        <v>2106</v>
      </c>
      <c r="E545" s="21"/>
      <c r="F545" s="20"/>
      <c r="G545" s="19" t="s">
        <v>2141</v>
      </c>
      <c r="H545" s="21" t="s">
        <v>2142</v>
      </c>
      <c r="I545" s="21" t="s">
        <v>16</v>
      </c>
      <c r="J545" s="20" t="s">
        <v>2143</v>
      </c>
      <c r="K545" s="20" t="s">
        <v>2144</v>
      </c>
    </row>
    <row r="546" spans="1:11" ht="46" customHeight="1">
      <c r="A546" s="19">
        <v>542</v>
      </c>
      <c r="B546" s="19" t="s">
        <v>2105</v>
      </c>
      <c r="C546" s="20" t="s">
        <v>2106</v>
      </c>
      <c r="D546" s="20" t="s">
        <v>2106</v>
      </c>
      <c r="E546" s="21"/>
      <c r="F546" s="20"/>
      <c r="G546" s="19" t="s">
        <v>2145</v>
      </c>
      <c r="H546" s="21" t="s">
        <v>2146</v>
      </c>
      <c r="I546" s="21" t="s">
        <v>16</v>
      </c>
      <c r="J546" s="20" t="s">
        <v>2147</v>
      </c>
      <c r="K546" s="20" t="s">
        <v>2148</v>
      </c>
    </row>
    <row r="547" spans="1:11" ht="46" customHeight="1">
      <c r="A547" s="19">
        <v>543</v>
      </c>
      <c r="B547" s="19" t="s">
        <v>2105</v>
      </c>
      <c r="C547" s="20" t="s">
        <v>2106</v>
      </c>
      <c r="D547" s="20" t="s">
        <v>2106</v>
      </c>
      <c r="E547" s="21"/>
      <c r="F547" s="20"/>
      <c r="G547" s="19" t="s">
        <v>2149</v>
      </c>
      <c r="H547" s="21" t="s">
        <v>2150</v>
      </c>
      <c r="I547" s="21" t="s">
        <v>16</v>
      </c>
      <c r="J547" s="20" t="s">
        <v>2151</v>
      </c>
      <c r="K547" s="20" t="s">
        <v>2152</v>
      </c>
    </row>
    <row r="548" spans="1:11" ht="46" customHeight="1">
      <c r="A548" s="19">
        <v>544</v>
      </c>
      <c r="B548" s="19" t="s">
        <v>2105</v>
      </c>
      <c r="C548" s="20" t="s">
        <v>2106</v>
      </c>
      <c r="D548" s="20" t="s">
        <v>2106</v>
      </c>
      <c r="E548" s="21"/>
      <c r="F548" s="20"/>
      <c r="G548" s="19" t="s">
        <v>2153</v>
      </c>
      <c r="H548" s="21" t="s">
        <v>2154</v>
      </c>
      <c r="I548" s="21" t="s">
        <v>16</v>
      </c>
      <c r="J548" s="20" t="s">
        <v>2155</v>
      </c>
      <c r="K548" s="20" t="s">
        <v>2156</v>
      </c>
    </row>
    <row r="549" spans="1:11" ht="46" customHeight="1">
      <c r="A549" s="19">
        <v>545</v>
      </c>
      <c r="B549" s="19" t="s">
        <v>2105</v>
      </c>
      <c r="C549" s="20" t="s">
        <v>2106</v>
      </c>
      <c r="D549" s="20" t="s">
        <v>2106</v>
      </c>
      <c r="E549" s="21"/>
      <c r="F549" s="20"/>
      <c r="G549" s="19" t="s">
        <v>2157</v>
      </c>
      <c r="H549" s="21" t="s">
        <v>2158</v>
      </c>
      <c r="I549" s="21" t="s">
        <v>16</v>
      </c>
      <c r="J549" s="20" t="s">
        <v>2159</v>
      </c>
      <c r="K549" s="20" t="s">
        <v>2160</v>
      </c>
    </row>
    <row r="550" spans="1:11" ht="46" customHeight="1">
      <c r="A550" s="19">
        <v>546</v>
      </c>
      <c r="B550" s="19" t="s">
        <v>2105</v>
      </c>
      <c r="C550" s="20" t="s">
        <v>2106</v>
      </c>
      <c r="D550" s="20" t="s">
        <v>2106</v>
      </c>
      <c r="E550" s="21"/>
      <c r="F550" s="20"/>
      <c r="G550" s="19" t="s">
        <v>2161</v>
      </c>
      <c r="H550" s="21" t="s">
        <v>2162</v>
      </c>
      <c r="I550" s="21" t="s">
        <v>24</v>
      </c>
      <c r="J550" s="20" t="s">
        <v>2163</v>
      </c>
      <c r="K550" s="20" t="s">
        <v>2164</v>
      </c>
    </row>
    <row r="551" spans="1:11" ht="46" customHeight="1">
      <c r="A551" s="19">
        <v>547</v>
      </c>
      <c r="B551" s="19" t="s">
        <v>2105</v>
      </c>
      <c r="C551" s="20" t="s">
        <v>2106</v>
      </c>
      <c r="D551" s="20" t="s">
        <v>2106</v>
      </c>
      <c r="E551" s="21"/>
      <c r="F551" s="20"/>
      <c r="G551" s="19" t="s">
        <v>2165</v>
      </c>
      <c r="H551" s="21" t="s">
        <v>2166</v>
      </c>
      <c r="I551" s="21" t="s">
        <v>16</v>
      </c>
      <c r="J551" s="20" t="s">
        <v>2167</v>
      </c>
      <c r="K551" s="20" t="s">
        <v>2168</v>
      </c>
    </row>
    <row r="552" spans="1:11" ht="46" customHeight="1">
      <c r="A552" s="19">
        <v>548</v>
      </c>
      <c r="B552" s="19" t="s">
        <v>2105</v>
      </c>
      <c r="C552" s="20" t="s">
        <v>2106</v>
      </c>
      <c r="D552" s="20" t="s">
        <v>2106</v>
      </c>
      <c r="E552" s="21"/>
      <c r="F552" s="20"/>
      <c r="G552" s="19" t="s">
        <v>2169</v>
      </c>
      <c r="H552" s="21" t="s">
        <v>2170</v>
      </c>
      <c r="I552" s="21" t="s">
        <v>24</v>
      </c>
      <c r="J552" s="20" t="s">
        <v>2171</v>
      </c>
      <c r="K552" s="20" t="s">
        <v>2172</v>
      </c>
    </row>
    <row r="553" spans="1:11" ht="46" customHeight="1">
      <c r="A553" s="19">
        <v>549</v>
      </c>
      <c r="B553" s="19" t="s">
        <v>2105</v>
      </c>
      <c r="C553" s="20" t="s">
        <v>2106</v>
      </c>
      <c r="D553" s="20" t="s">
        <v>2106</v>
      </c>
      <c r="E553" s="21"/>
      <c r="F553" s="20"/>
      <c r="G553" s="19" t="s">
        <v>2173</v>
      </c>
      <c r="H553" s="21" t="s">
        <v>2174</v>
      </c>
      <c r="I553" s="21" t="s">
        <v>16</v>
      </c>
      <c r="J553" s="20" t="s">
        <v>2175</v>
      </c>
      <c r="K553" s="20" t="s">
        <v>2176</v>
      </c>
    </row>
    <row r="554" spans="1:11" ht="46" customHeight="1">
      <c r="A554" s="19">
        <v>550</v>
      </c>
      <c r="B554" s="19" t="s">
        <v>2105</v>
      </c>
      <c r="C554" s="20" t="s">
        <v>2106</v>
      </c>
      <c r="D554" s="20" t="s">
        <v>2106</v>
      </c>
      <c r="E554" s="21"/>
      <c r="F554" s="20"/>
      <c r="G554" s="19" t="s">
        <v>2177</v>
      </c>
      <c r="H554" s="21" t="s">
        <v>2178</v>
      </c>
      <c r="I554" s="21" t="s">
        <v>16</v>
      </c>
      <c r="J554" s="20" t="s">
        <v>2179</v>
      </c>
      <c r="K554" s="20" t="s">
        <v>2180</v>
      </c>
    </row>
    <row r="555" spans="1:11" ht="46" customHeight="1">
      <c r="A555" s="19">
        <v>551</v>
      </c>
      <c r="B555" s="19" t="s">
        <v>2105</v>
      </c>
      <c r="C555" s="20" t="s">
        <v>2106</v>
      </c>
      <c r="D555" s="20" t="s">
        <v>2106</v>
      </c>
      <c r="E555" s="21"/>
      <c r="F555" s="20"/>
      <c r="G555" s="19" t="s">
        <v>2181</v>
      </c>
      <c r="H555" s="21" t="s">
        <v>2182</v>
      </c>
      <c r="I555" s="21" t="s">
        <v>16</v>
      </c>
      <c r="J555" s="20" t="s">
        <v>2183</v>
      </c>
      <c r="K555" s="20" t="s">
        <v>2184</v>
      </c>
    </row>
    <row r="556" spans="1:11" ht="46" customHeight="1">
      <c r="A556" s="19">
        <v>552</v>
      </c>
      <c r="B556" s="19" t="s">
        <v>2105</v>
      </c>
      <c r="C556" s="20" t="s">
        <v>2106</v>
      </c>
      <c r="D556" s="20" t="s">
        <v>2106</v>
      </c>
      <c r="E556" s="21"/>
      <c r="F556" s="20"/>
      <c r="G556" s="19" t="s">
        <v>2185</v>
      </c>
      <c r="H556" s="21" t="s">
        <v>2186</v>
      </c>
      <c r="I556" s="21" t="s">
        <v>16</v>
      </c>
      <c r="J556" s="20" t="s">
        <v>2187</v>
      </c>
      <c r="K556" s="20" t="s">
        <v>2188</v>
      </c>
    </row>
    <row r="557" spans="1:11" ht="46" customHeight="1">
      <c r="A557" s="19">
        <v>553</v>
      </c>
      <c r="B557" s="19" t="s">
        <v>2105</v>
      </c>
      <c r="C557" s="20" t="s">
        <v>2106</v>
      </c>
      <c r="D557" s="20" t="s">
        <v>2106</v>
      </c>
      <c r="E557" s="21"/>
      <c r="F557" s="20"/>
      <c r="G557" s="19" t="s">
        <v>2189</v>
      </c>
      <c r="H557" s="21" t="s">
        <v>2190</v>
      </c>
      <c r="I557" s="21" t="s">
        <v>24</v>
      </c>
      <c r="J557" s="20" t="s">
        <v>269</v>
      </c>
      <c r="K557" s="20" t="s">
        <v>2191</v>
      </c>
    </row>
    <row r="558" spans="1:11" ht="46" customHeight="1">
      <c r="A558" s="19">
        <v>554</v>
      </c>
      <c r="B558" s="19" t="s">
        <v>2105</v>
      </c>
      <c r="C558" s="20" t="s">
        <v>2106</v>
      </c>
      <c r="D558" s="20" t="s">
        <v>2106</v>
      </c>
      <c r="E558" s="21"/>
      <c r="F558" s="20"/>
      <c r="G558" s="19" t="s">
        <v>2192</v>
      </c>
      <c r="H558" s="21" t="s">
        <v>2193</v>
      </c>
      <c r="I558" s="21" t="s">
        <v>24</v>
      </c>
      <c r="J558" s="20" t="s">
        <v>2194</v>
      </c>
      <c r="K558" s="20" t="s">
        <v>2195</v>
      </c>
    </row>
    <row r="559" spans="1:11" ht="46" customHeight="1">
      <c r="A559" s="19">
        <v>555</v>
      </c>
      <c r="B559" s="19" t="s">
        <v>2105</v>
      </c>
      <c r="C559" s="20" t="s">
        <v>2106</v>
      </c>
      <c r="D559" s="20" t="s">
        <v>2106</v>
      </c>
      <c r="E559" s="21"/>
      <c r="F559" s="20"/>
      <c r="G559" s="19" t="s">
        <v>2196</v>
      </c>
      <c r="H559" s="21" t="s">
        <v>2197</v>
      </c>
      <c r="I559" s="21" t="s">
        <v>16</v>
      </c>
      <c r="J559" s="20" t="s">
        <v>2198</v>
      </c>
      <c r="K559" s="20" t="s">
        <v>2199</v>
      </c>
    </row>
    <row r="560" spans="1:11" ht="46" customHeight="1">
      <c r="A560" s="19">
        <v>556</v>
      </c>
      <c r="B560" s="19" t="s">
        <v>2105</v>
      </c>
      <c r="C560" s="20" t="s">
        <v>2106</v>
      </c>
      <c r="D560" s="20" t="s">
        <v>2106</v>
      </c>
      <c r="E560" s="21"/>
      <c r="F560" s="20"/>
      <c r="G560" s="19" t="s">
        <v>2200</v>
      </c>
      <c r="H560" s="21" t="s">
        <v>2201</v>
      </c>
      <c r="I560" s="21" t="s">
        <v>24</v>
      </c>
      <c r="J560" s="20" t="s">
        <v>2202</v>
      </c>
      <c r="K560" s="20" t="s">
        <v>2203</v>
      </c>
    </row>
    <row r="561" spans="1:11" ht="46" customHeight="1">
      <c r="A561" s="19">
        <v>557</v>
      </c>
      <c r="B561" s="19" t="s">
        <v>2105</v>
      </c>
      <c r="C561" s="20" t="s">
        <v>2106</v>
      </c>
      <c r="D561" s="20" t="s">
        <v>2106</v>
      </c>
      <c r="E561" s="21"/>
      <c r="F561" s="20"/>
      <c r="G561" s="19" t="s">
        <v>2204</v>
      </c>
      <c r="H561" s="21" t="s">
        <v>2205</v>
      </c>
      <c r="I561" s="21" t="s">
        <v>16</v>
      </c>
      <c r="J561" s="20" t="s">
        <v>2206</v>
      </c>
      <c r="K561" s="20" t="s">
        <v>2207</v>
      </c>
    </row>
    <row r="562" spans="1:11" ht="46" customHeight="1">
      <c r="A562" s="19">
        <v>558</v>
      </c>
      <c r="B562" s="19" t="s">
        <v>2105</v>
      </c>
      <c r="C562" s="20" t="s">
        <v>2106</v>
      </c>
      <c r="D562" s="20" t="s">
        <v>2106</v>
      </c>
      <c r="E562" s="21"/>
      <c r="F562" s="20"/>
      <c r="G562" s="19" t="s">
        <v>2208</v>
      </c>
      <c r="H562" s="21" t="s">
        <v>2209</v>
      </c>
      <c r="I562" s="21" t="s">
        <v>16</v>
      </c>
      <c r="J562" s="20" t="s">
        <v>2210</v>
      </c>
      <c r="K562" s="20" t="s">
        <v>2148</v>
      </c>
    </row>
    <row r="563" spans="1:11" ht="46" customHeight="1">
      <c r="A563" s="19">
        <v>559</v>
      </c>
      <c r="B563" s="19" t="s">
        <v>2105</v>
      </c>
      <c r="C563" s="20" t="s">
        <v>2106</v>
      </c>
      <c r="D563" s="20" t="s">
        <v>2106</v>
      </c>
      <c r="E563" s="21"/>
      <c r="F563" s="20"/>
      <c r="G563" s="19" t="s">
        <v>2211</v>
      </c>
      <c r="H563" s="21" t="s">
        <v>2212</v>
      </c>
      <c r="I563" s="21" t="s">
        <v>16</v>
      </c>
      <c r="J563" s="20" t="s">
        <v>2213</v>
      </c>
      <c r="K563" s="20" t="s">
        <v>2214</v>
      </c>
    </row>
    <row r="564" spans="1:11" ht="46" customHeight="1">
      <c r="A564" s="19">
        <v>560</v>
      </c>
      <c r="B564" s="19" t="s">
        <v>2105</v>
      </c>
      <c r="C564" s="20" t="s">
        <v>2106</v>
      </c>
      <c r="D564" s="20" t="s">
        <v>2106</v>
      </c>
      <c r="E564" s="21"/>
      <c r="F564" s="20"/>
      <c r="G564" s="19" t="s">
        <v>2215</v>
      </c>
      <c r="H564" s="21" t="s">
        <v>2216</v>
      </c>
      <c r="I564" s="21" t="s">
        <v>16</v>
      </c>
      <c r="J564" s="20" t="s">
        <v>2217</v>
      </c>
      <c r="K564" s="20" t="s">
        <v>2218</v>
      </c>
    </row>
    <row r="565" spans="1:11" ht="46" customHeight="1">
      <c r="A565" s="19">
        <v>561</v>
      </c>
      <c r="B565" s="19" t="s">
        <v>2105</v>
      </c>
      <c r="C565" s="20" t="s">
        <v>2106</v>
      </c>
      <c r="D565" s="20" t="s">
        <v>2106</v>
      </c>
      <c r="E565" s="21"/>
      <c r="F565" s="20"/>
      <c r="G565" s="19" t="s">
        <v>2219</v>
      </c>
      <c r="H565" s="21" t="s">
        <v>2220</v>
      </c>
      <c r="I565" s="21" t="s">
        <v>24</v>
      </c>
      <c r="J565" s="20" t="s">
        <v>2221</v>
      </c>
      <c r="K565" s="20" t="s">
        <v>2222</v>
      </c>
    </row>
    <row r="566" spans="1:11" ht="46" customHeight="1">
      <c r="A566" s="19">
        <v>562</v>
      </c>
      <c r="B566" s="19" t="s">
        <v>2105</v>
      </c>
      <c r="C566" s="20" t="s">
        <v>2106</v>
      </c>
      <c r="D566" s="20" t="s">
        <v>2106</v>
      </c>
      <c r="E566" s="21"/>
      <c r="F566" s="20"/>
      <c r="G566" s="19" t="s">
        <v>2223</v>
      </c>
      <c r="H566" s="21" t="s">
        <v>2224</v>
      </c>
      <c r="I566" s="21" t="s">
        <v>16</v>
      </c>
      <c r="J566" s="20" t="s">
        <v>2225</v>
      </c>
      <c r="K566" s="20" t="s">
        <v>2226</v>
      </c>
    </row>
    <row r="567" spans="1:11" ht="46" customHeight="1">
      <c r="A567" s="19">
        <v>563</v>
      </c>
      <c r="B567" s="19" t="s">
        <v>2105</v>
      </c>
      <c r="C567" s="20" t="s">
        <v>2106</v>
      </c>
      <c r="D567" s="20" t="s">
        <v>2106</v>
      </c>
      <c r="E567" s="21"/>
      <c r="F567" s="20"/>
      <c r="G567" s="19" t="s">
        <v>2227</v>
      </c>
      <c r="H567" s="21" t="s">
        <v>2228</v>
      </c>
      <c r="I567" s="21" t="s">
        <v>24</v>
      </c>
      <c r="J567" s="20" t="s">
        <v>2229</v>
      </c>
      <c r="K567" s="20" t="s">
        <v>2230</v>
      </c>
    </row>
    <row r="568" spans="1:11" ht="46" customHeight="1">
      <c r="A568" s="19">
        <v>564</v>
      </c>
      <c r="B568" s="19" t="s">
        <v>2105</v>
      </c>
      <c r="C568" s="20" t="s">
        <v>2106</v>
      </c>
      <c r="D568" s="20" t="s">
        <v>2106</v>
      </c>
      <c r="E568" s="21"/>
      <c r="F568" s="20"/>
      <c r="G568" s="19" t="s">
        <v>2231</v>
      </c>
      <c r="H568" s="21" t="s">
        <v>2232</v>
      </c>
      <c r="I568" s="21" t="s">
        <v>24</v>
      </c>
      <c r="J568" s="20" t="s">
        <v>2233</v>
      </c>
      <c r="K568" s="20" t="s">
        <v>2234</v>
      </c>
    </row>
    <row r="569" spans="1:11" ht="46" customHeight="1">
      <c r="A569" s="19">
        <v>565</v>
      </c>
      <c r="B569" s="19" t="s">
        <v>2105</v>
      </c>
      <c r="C569" s="20" t="s">
        <v>2106</v>
      </c>
      <c r="D569" s="20" t="s">
        <v>2106</v>
      </c>
      <c r="E569" s="21"/>
      <c r="F569" s="20"/>
      <c r="G569" s="19" t="s">
        <v>2235</v>
      </c>
      <c r="H569" s="21" t="s">
        <v>2236</v>
      </c>
      <c r="I569" s="21" t="s">
        <v>16</v>
      </c>
      <c r="J569" s="20" t="s">
        <v>498</v>
      </c>
      <c r="K569" s="20" t="s">
        <v>2237</v>
      </c>
    </row>
    <row r="570" spans="1:11" ht="46" customHeight="1">
      <c r="A570" s="19">
        <v>566</v>
      </c>
      <c r="B570" s="19" t="s">
        <v>2238</v>
      </c>
      <c r="C570" s="20" t="s">
        <v>2239</v>
      </c>
      <c r="D570" s="20" t="s">
        <v>2239</v>
      </c>
      <c r="E570" s="21"/>
      <c r="F570" s="20"/>
      <c r="G570" s="19" t="s">
        <v>2240</v>
      </c>
      <c r="H570" s="21" t="s">
        <v>2241</v>
      </c>
      <c r="I570" s="21" t="s">
        <v>16</v>
      </c>
      <c r="J570" s="20" t="s">
        <v>2242</v>
      </c>
      <c r="K570" s="20" t="s">
        <v>2243</v>
      </c>
    </row>
    <row r="571" spans="1:11" ht="46" customHeight="1">
      <c r="A571" s="19">
        <v>567</v>
      </c>
      <c r="B571" s="19" t="s">
        <v>2238</v>
      </c>
      <c r="C571" s="20" t="s">
        <v>2239</v>
      </c>
      <c r="D571" s="20" t="s">
        <v>2239</v>
      </c>
      <c r="E571" s="21"/>
      <c r="F571" s="20"/>
      <c r="G571" s="19" t="s">
        <v>2244</v>
      </c>
      <c r="H571" s="21" t="s">
        <v>2245</v>
      </c>
      <c r="I571" s="21" t="s">
        <v>16</v>
      </c>
      <c r="J571" s="20" t="s">
        <v>2246</v>
      </c>
      <c r="K571" s="20" t="s">
        <v>2247</v>
      </c>
    </row>
    <row r="572" spans="1:11" ht="46" customHeight="1">
      <c r="A572" s="19">
        <v>568</v>
      </c>
      <c r="B572" s="19" t="s">
        <v>2238</v>
      </c>
      <c r="C572" s="20" t="s">
        <v>2239</v>
      </c>
      <c r="D572" s="20" t="s">
        <v>2239</v>
      </c>
      <c r="E572" s="21"/>
      <c r="F572" s="20"/>
      <c r="G572" s="19" t="s">
        <v>2248</v>
      </c>
      <c r="H572" s="21" t="s">
        <v>2249</v>
      </c>
      <c r="I572" s="21" t="s">
        <v>16</v>
      </c>
      <c r="J572" s="20" t="s">
        <v>2250</v>
      </c>
      <c r="K572" s="20" t="s">
        <v>2251</v>
      </c>
    </row>
    <row r="573" spans="1:11" ht="46" customHeight="1">
      <c r="A573" s="19">
        <v>569</v>
      </c>
      <c r="B573" s="19" t="s">
        <v>2238</v>
      </c>
      <c r="C573" s="20" t="s">
        <v>2239</v>
      </c>
      <c r="D573" s="20" t="s">
        <v>2239</v>
      </c>
      <c r="E573" s="21"/>
      <c r="F573" s="20"/>
      <c r="G573" s="19" t="s">
        <v>2252</v>
      </c>
      <c r="H573" s="21" t="s">
        <v>2253</v>
      </c>
      <c r="I573" s="21" t="s">
        <v>16</v>
      </c>
      <c r="J573" s="20" t="s">
        <v>2254</v>
      </c>
      <c r="K573" s="20" t="s">
        <v>2255</v>
      </c>
    </row>
    <row r="574" spans="1:11" ht="46" customHeight="1">
      <c r="A574" s="19">
        <v>570</v>
      </c>
      <c r="B574" s="19" t="s">
        <v>2238</v>
      </c>
      <c r="C574" s="20" t="s">
        <v>2239</v>
      </c>
      <c r="D574" s="20" t="s">
        <v>2239</v>
      </c>
      <c r="E574" s="21"/>
      <c r="F574" s="20"/>
      <c r="G574" s="19" t="s">
        <v>2256</v>
      </c>
      <c r="H574" s="21" t="s">
        <v>2257</v>
      </c>
      <c r="I574" s="21" t="s">
        <v>16</v>
      </c>
      <c r="J574" s="20" t="s">
        <v>540</v>
      </c>
      <c r="K574" s="20" t="s">
        <v>2258</v>
      </c>
    </row>
    <row r="575" spans="1:11" ht="46" customHeight="1">
      <c r="A575" s="19">
        <v>571</v>
      </c>
      <c r="B575" s="19" t="s">
        <v>2238</v>
      </c>
      <c r="C575" s="20" t="s">
        <v>2239</v>
      </c>
      <c r="D575" s="20" t="s">
        <v>2239</v>
      </c>
      <c r="E575" s="21"/>
      <c r="F575" s="20"/>
      <c r="G575" s="19" t="s">
        <v>2259</v>
      </c>
      <c r="H575" s="21" t="s">
        <v>2260</v>
      </c>
      <c r="I575" s="21" t="s">
        <v>16</v>
      </c>
      <c r="J575" s="20" t="s">
        <v>2261</v>
      </c>
      <c r="K575" s="20" t="s">
        <v>2262</v>
      </c>
    </row>
    <row r="576" spans="1:11" ht="46" customHeight="1">
      <c r="A576" s="19">
        <v>572</v>
      </c>
      <c r="B576" s="19" t="s">
        <v>2238</v>
      </c>
      <c r="C576" s="20" t="s">
        <v>2239</v>
      </c>
      <c r="D576" s="20" t="s">
        <v>2239</v>
      </c>
      <c r="E576" s="21"/>
      <c r="F576" s="20"/>
      <c r="G576" s="19" t="s">
        <v>2263</v>
      </c>
      <c r="H576" s="21" t="s">
        <v>2264</v>
      </c>
      <c r="I576" s="21" t="s">
        <v>16</v>
      </c>
      <c r="J576" s="20" t="s">
        <v>2265</v>
      </c>
      <c r="K576" s="20" t="s">
        <v>2266</v>
      </c>
    </row>
    <row r="577" spans="1:11" ht="46" customHeight="1">
      <c r="A577" s="19">
        <v>573</v>
      </c>
      <c r="B577" s="19" t="s">
        <v>2238</v>
      </c>
      <c r="C577" s="20" t="s">
        <v>2239</v>
      </c>
      <c r="D577" s="20" t="s">
        <v>2239</v>
      </c>
      <c r="E577" s="21"/>
      <c r="F577" s="20"/>
      <c r="G577" s="19" t="s">
        <v>2267</v>
      </c>
      <c r="H577" s="21" t="s">
        <v>2268</v>
      </c>
      <c r="I577" s="21" t="s">
        <v>16</v>
      </c>
      <c r="J577" s="20" t="s">
        <v>2269</v>
      </c>
      <c r="K577" s="20" t="s">
        <v>2270</v>
      </c>
    </row>
    <row r="578" spans="1:11" ht="46" customHeight="1">
      <c r="A578" s="19">
        <v>574</v>
      </c>
      <c r="B578" s="19" t="s">
        <v>2238</v>
      </c>
      <c r="C578" s="20" t="s">
        <v>2239</v>
      </c>
      <c r="D578" s="20" t="s">
        <v>2239</v>
      </c>
      <c r="E578" s="21"/>
      <c r="F578" s="20"/>
      <c r="G578" s="19" t="s">
        <v>2271</v>
      </c>
      <c r="H578" s="21" t="s">
        <v>2272</v>
      </c>
      <c r="I578" s="21" t="s">
        <v>16</v>
      </c>
      <c r="J578" s="20" t="s">
        <v>2273</v>
      </c>
      <c r="K578" s="20" t="s">
        <v>2274</v>
      </c>
    </row>
    <row r="579" spans="1:11" ht="46" customHeight="1">
      <c r="A579" s="19">
        <v>575</v>
      </c>
      <c r="B579" s="19" t="s">
        <v>2238</v>
      </c>
      <c r="C579" s="20" t="s">
        <v>2239</v>
      </c>
      <c r="D579" s="20" t="s">
        <v>2239</v>
      </c>
      <c r="E579" s="21"/>
      <c r="F579" s="20"/>
      <c r="G579" s="19" t="s">
        <v>2275</v>
      </c>
      <c r="H579" s="21" t="s">
        <v>2276</v>
      </c>
      <c r="I579" s="21" t="s">
        <v>24</v>
      </c>
      <c r="J579" s="20" t="s">
        <v>2277</v>
      </c>
      <c r="K579" s="20" t="s">
        <v>2278</v>
      </c>
    </row>
    <row r="580" spans="1:11" ht="46" customHeight="1">
      <c r="A580" s="19">
        <v>576</v>
      </c>
      <c r="B580" s="19" t="s">
        <v>2238</v>
      </c>
      <c r="C580" s="20" t="s">
        <v>2239</v>
      </c>
      <c r="D580" s="20" t="s">
        <v>2239</v>
      </c>
      <c r="E580" s="21"/>
      <c r="F580" s="20"/>
      <c r="G580" s="19" t="s">
        <v>2279</v>
      </c>
      <c r="H580" s="21" t="s">
        <v>2280</v>
      </c>
      <c r="I580" s="21" t="s">
        <v>16</v>
      </c>
      <c r="J580" s="20" t="s">
        <v>2281</v>
      </c>
      <c r="K580" s="20" t="s">
        <v>2282</v>
      </c>
    </row>
    <row r="581" spans="1:11" ht="46" customHeight="1">
      <c r="A581" s="19">
        <v>577</v>
      </c>
      <c r="B581" s="19" t="s">
        <v>2238</v>
      </c>
      <c r="C581" s="20" t="s">
        <v>2239</v>
      </c>
      <c r="D581" s="20" t="s">
        <v>2239</v>
      </c>
      <c r="E581" s="21"/>
      <c r="F581" s="20"/>
      <c r="G581" s="19" t="s">
        <v>2283</v>
      </c>
      <c r="H581" s="21" t="s">
        <v>2284</v>
      </c>
      <c r="I581" s="21" t="s">
        <v>24</v>
      </c>
      <c r="J581" s="20" t="s">
        <v>2285</v>
      </c>
      <c r="K581" s="20" t="s">
        <v>2286</v>
      </c>
    </row>
    <row r="582" spans="1:11" ht="46" customHeight="1">
      <c r="A582" s="19">
        <v>578</v>
      </c>
      <c r="B582" s="19" t="s">
        <v>2238</v>
      </c>
      <c r="C582" s="20" t="s">
        <v>2239</v>
      </c>
      <c r="D582" s="20" t="s">
        <v>2239</v>
      </c>
      <c r="E582" s="21"/>
      <c r="F582" s="20"/>
      <c r="G582" s="19" t="s">
        <v>2287</v>
      </c>
      <c r="H582" s="21" t="s">
        <v>2288</v>
      </c>
      <c r="I582" s="21" t="s">
        <v>16</v>
      </c>
      <c r="J582" s="20" t="s">
        <v>1408</v>
      </c>
      <c r="K582" s="20" t="s">
        <v>2289</v>
      </c>
    </row>
    <row r="583" spans="1:11" ht="46" customHeight="1">
      <c r="A583" s="19">
        <v>579</v>
      </c>
      <c r="B583" s="19" t="s">
        <v>2238</v>
      </c>
      <c r="C583" s="20" t="s">
        <v>2239</v>
      </c>
      <c r="D583" s="20" t="s">
        <v>2239</v>
      </c>
      <c r="E583" s="21"/>
      <c r="F583" s="20"/>
      <c r="G583" s="19" t="s">
        <v>2290</v>
      </c>
      <c r="H583" s="21" t="s">
        <v>2291</v>
      </c>
      <c r="I583" s="21" t="s">
        <v>16</v>
      </c>
      <c r="J583" s="20" t="s">
        <v>2292</v>
      </c>
      <c r="K583" s="20" t="s">
        <v>2293</v>
      </c>
    </row>
    <row r="584" spans="1:11" ht="46" customHeight="1">
      <c r="A584" s="19">
        <v>580</v>
      </c>
      <c r="B584" s="19" t="s">
        <v>2238</v>
      </c>
      <c r="C584" s="20" t="s">
        <v>2239</v>
      </c>
      <c r="D584" s="20" t="s">
        <v>2239</v>
      </c>
      <c r="E584" s="21"/>
      <c r="F584" s="20"/>
      <c r="G584" s="19" t="s">
        <v>2294</v>
      </c>
      <c r="H584" s="21" t="s">
        <v>2295</v>
      </c>
      <c r="I584" s="21" t="s">
        <v>24</v>
      </c>
      <c r="J584" s="20" t="s">
        <v>2296</v>
      </c>
      <c r="K584" s="20" t="s">
        <v>2297</v>
      </c>
    </row>
    <row r="585" spans="1:11" ht="46" customHeight="1">
      <c r="A585" s="19">
        <v>581</v>
      </c>
      <c r="B585" s="19" t="s">
        <v>2238</v>
      </c>
      <c r="C585" s="20" t="s">
        <v>2239</v>
      </c>
      <c r="D585" s="20" t="s">
        <v>2239</v>
      </c>
      <c r="E585" s="21"/>
      <c r="F585" s="20"/>
      <c r="G585" s="19" t="s">
        <v>2298</v>
      </c>
      <c r="H585" s="21" t="s">
        <v>2299</v>
      </c>
      <c r="I585" s="21" t="s">
        <v>24</v>
      </c>
      <c r="J585" s="20" t="s">
        <v>2300</v>
      </c>
      <c r="K585" s="20" t="s">
        <v>2301</v>
      </c>
    </row>
    <row r="586" spans="1:11" ht="46" customHeight="1">
      <c r="A586" s="19">
        <v>582</v>
      </c>
      <c r="B586" s="19" t="s">
        <v>2238</v>
      </c>
      <c r="C586" s="20" t="s">
        <v>2239</v>
      </c>
      <c r="D586" s="20" t="s">
        <v>2239</v>
      </c>
      <c r="E586" s="21"/>
      <c r="F586" s="20"/>
      <c r="G586" s="19" t="s">
        <v>2302</v>
      </c>
      <c r="H586" s="21" t="s">
        <v>2303</v>
      </c>
      <c r="I586" s="21" t="s">
        <v>16</v>
      </c>
      <c r="J586" s="20" t="s">
        <v>2304</v>
      </c>
      <c r="K586" s="20" t="s">
        <v>2305</v>
      </c>
    </row>
    <row r="587" spans="1:11" ht="46" customHeight="1">
      <c r="A587" s="19">
        <v>583</v>
      </c>
      <c r="B587" s="19" t="s">
        <v>2238</v>
      </c>
      <c r="C587" s="20" t="s">
        <v>2239</v>
      </c>
      <c r="D587" s="20" t="s">
        <v>2239</v>
      </c>
      <c r="E587" s="21"/>
      <c r="F587" s="20"/>
      <c r="G587" s="19" t="s">
        <v>2306</v>
      </c>
      <c r="H587" s="21" t="s">
        <v>2307</v>
      </c>
      <c r="I587" s="21" t="s">
        <v>16</v>
      </c>
      <c r="J587" s="20" t="s">
        <v>2308</v>
      </c>
      <c r="K587" s="20" t="s">
        <v>2309</v>
      </c>
    </row>
    <row r="588" spans="1:11" ht="46" customHeight="1">
      <c r="A588" s="19">
        <v>584</v>
      </c>
      <c r="B588" s="19" t="s">
        <v>2238</v>
      </c>
      <c r="C588" s="20" t="s">
        <v>2239</v>
      </c>
      <c r="D588" s="20" t="s">
        <v>2239</v>
      </c>
      <c r="E588" s="21"/>
      <c r="F588" s="20"/>
      <c r="G588" s="19" t="s">
        <v>2310</v>
      </c>
      <c r="H588" s="21" t="s">
        <v>2311</v>
      </c>
      <c r="I588" s="21" t="s">
        <v>16</v>
      </c>
      <c r="J588" s="20" t="s">
        <v>2312</v>
      </c>
      <c r="K588" s="20" t="s">
        <v>2313</v>
      </c>
    </row>
    <row r="589" spans="1:11" ht="46" customHeight="1">
      <c r="A589" s="19">
        <v>585</v>
      </c>
      <c r="B589" s="19" t="s">
        <v>2238</v>
      </c>
      <c r="C589" s="20" t="s">
        <v>2239</v>
      </c>
      <c r="D589" s="20" t="s">
        <v>2239</v>
      </c>
      <c r="E589" s="21"/>
      <c r="F589" s="20"/>
      <c r="G589" s="19" t="s">
        <v>2314</v>
      </c>
      <c r="H589" s="21" t="s">
        <v>2315</v>
      </c>
      <c r="I589" s="21" t="s">
        <v>24</v>
      </c>
      <c r="J589" s="20" t="s">
        <v>2316</v>
      </c>
      <c r="K589" s="20" t="s">
        <v>2317</v>
      </c>
    </row>
    <row r="590" spans="1:11" ht="46" customHeight="1">
      <c r="A590" s="19">
        <v>586</v>
      </c>
      <c r="B590" s="19" t="s">
        <v>2238</v>
      </c>
      <c r="C590" s="20" t="s">
        <v>2239</v>
      </c>
      <c r="D590" s="20" t="s">
        <v>2239</v>
      </c>
      <c r="E590" s="21"/>
      <c r="F590" s="20"/>
      <c r="G590" s="19" t="s">
        <v>2318</v>
      </c>
      <c r="H590" s="21" t="s">
        <v>2319</v>
      </c>
      <c r="I590" s="21" t="s">
        <v>24</v>
      </c>
      <c r="J590" s="20" t="s">
        <v>2320</v>
      </c>
      <c r="K590" s="20" t="s">
        <v>2321</v>
      </c>
    </row>
    <row r="591" spans="1:11" ht="46" customHeight="1">
      <c r="A591" s="19">
        <v>587</v>
      </c>
      <c r="B591" s="19" t="s">
        <v>2238</v>
      </c>
      <c r="C591" s="20" t="s">
        <v>2239</v>
      </c>
      <c r="D591" s="20" t="s">
        <v>2239</v>
      </c>
      <c r="E591" s="21"/>
      <c r="F591" s="20"/>
      <c r="G591" s="19" t="s">
        <v>2322</v>
      </c>
      <c r="H591" s="21" t="s">
        <v>2323</v>
      </c>
      <c r="I591" s="21" t="s">
        <v>24</v>
      </c>
      <c r="J591" s="20" t="s">
        <v>2324</v>
      </c>
      <c r="K591" s="20" t="s">
        <v>2325</v>
      </c>
    </row>
    <row r="592" spans="1:11" ht="46" customHeight="1">
      <c r="A592" s="19">
        <v>588</v>
      </c>
      <c r="B592" s="19" t="s">
        <v>2238</v>
      </c>
      <c r="C592" s="20" t="s">
        <v>2239</v>
      </c>
      <c r="D592" s="20" t="s">
        <v>2239</v>
      </c>
      <c r="E592" s="21"/>
      <c r="F592" s="20"/>
      <c r="G592" s="19" t="s">
        <v>2326</v>
      </c>
      <c r="H592" s="21" t="s">
        <v>2327</v>
      </c>
      <c r="I592" s="21" t="s">
        <v>24</v>
      </c>
      <c r="J592" s="20" t="s">
        <v>2328</v>
      </c>
      <c r="K592" s="20" t="s">
        <v>2329</v>
      </c>
    </row>
    <row r="593" spans="1:11" ht="46" customHeight="1">
      <c r="A593" s="19">
        <v>589</v>
      </c>
      <c r="B593" s="19" t="s">
        <v>2238</v>
      </c>
      <c r="C593" s="20" t="s">
        <v>2239</v>
      </c>
      <c r="D593" s="20" t="s">
        <v>2239</v>
      </c>
      <c r="E593" s="21"/>
      <c r="F593" s="20"/>
      <c r="G593" s="19" t="s">
        <v>2330</v>
      </c>
      <c r="H593" s="21" t="s">
        <v>2331</v>
      </c>
      <c r="I593" s="21" t="s">
        <v>24</v>
      </c>
      <c r="J593" s="20" t="s">
        <v>2332</v>
      </c>
      <c r="K593" s="20" t="s">
        <v>2333</v>
      </c>
    </row>
    <row r="594" spans="1:11" ht="46" customHeight="1">
      <c r="A594" s="19">
        <v>590</v>
      </c>
      <c r="B594" s="19" t="s">
        <v>2238</v>
      </c>
      <c r="C594" s="20" t="s">
        <v>2239</v>
      </c>
      <c r="D594" s="20" t="s">
        <v>2239</v>
      </c>
      <c r="E594" s="21"/>
      <c r="F594" s="20"/>
      <c r="G594" s="19" t="s">
        <v>2334</v>
      </c>
      <c r="H594" s="21" t="s">
        <v>2335</v>
      </c>
      <c r="I594" s="21" t="s">
        <v>24</v>
      </c>
      <c r="J594" s="20" t="s">
        <v>2336</v>
      </c>
      <c r="K594" s="20" t="s">
        <v>2337</v>
      </c>
    </row>
    <row r="595" spans="1:11" ht="46" customHeight="1">
      <c r="A595" s="19">
        <v>591</v>
      </c>
      <c r="B595" s="19" t="s">
        <v>2338</v>
      </c>
      <c r="C595" s="20" t="s">
        <v>2339</v>
      </c>
      <c r="D595" s="20" t="s">
        <v>2339</v>
      </c>
      <c r="E595" s="21"/>
      <c r="F595" s="20"/>
      <c r="G595" s="19" t="s">
        <v>2340</v>
      </c>
      <c r="H595" s="21" t="s">
        <v>2341</v>
      </c>
      <c r="I595" s="21" t="s">
        <v>16</v>
      </c>
      <c r="J595" s="20" t="s">
        <v>338</v>
      </c>
      <c r="K595" s="20" t="s">
        <v>2342</v>
      </c>
    </row>
    <row r="596" spans="1:11" ht="46" customHeight="1">
      <c r="A596" s="19">
        <v>592</v>
      </c>
      <c r="B596" s="19" t="s">
        <v>2338</v>
      </c>
      <c r="C596" s="20" t="s">
        <v>2339</v>
      </c>
      <c r="D596" s="20" t="s">
        <v>2339</v>
      </c>
      <c r="E596" s="21"/>
      <c r="F596" s="20"/>
      <c r="G596" s="19" t="s">
        <v>2343</v>
      </c>
      <c r="H596" s="21" t="s">
        <v>2344</v>
      </c>
      <c r="I596" s="21" t="s">
        <v>16</v>
      </c>
      <c r="J596" s="20" t="s">
        <v>2345</v>
      </c>
      <c r="K596" s="20" t="s">
        <v>2346</v>
      </c>
    </row>
    <row r="597" spans="1:11" ht="46" customHeight="1">
      <c r="A597" s="19">
        <v>593</v>
      </c>
      <c r="B597" s="19" t="s">
        <v>2338</v>
      </c>
      <c r="C597" s="20" t="s">
        <v>2339</v>
      </c>
      <c r="D597" s="20" t="s">
        <v>2339</v>
      </c>
      <c r="E597" s="21"/>
      <c r="F597" s="20"/>
      <c r="G597" s="19" t="s">
        <v>2347</v>
      </c>
      <c r="H597" s="21" t="s">
        <v>2348</v>
      </c>
      <c r="I597" s="21" t="s">
        <v>16</v>
      </c>
      <c r="J597" s="20" t="s">
        <v>2349</v>
      </c>
      <c r="K597" s="20" t="s">
        <v>2350</v>
      </c>
    </row>
    <row r="598" spans="1:11" ht="46" customHeight="1">
      <c r="A598" s="19">
        <v>594</v>
      </c>
      <c r="B598" s="19" t="s">
        <v>2338</v>
      </c>
      <c r="C598" s="20" t="s">
        <v>2339</v>
      </c>
      <c r="D598" s="20" t="s">
        <v>2339</v>
      </c>
      <c r="E598" s="21"/>
      <c r="F598" s="20"/>
      <c r="G598" s="19" t="s">
        <v>2351</v>
      </c>
      <c r="H598" s="21" t="s">
        <v>2352</v>
      </c>
      <c r="I598" s="21" t="s">
        <v>16</v>
      </c>
      <c r="J598" s="20" t="s">
        <v>2353</v>
      </c>
      <c r="K598" s="20" t="s">
        <v>1826</v>
      </c>
    </row>
    <row r="599" spans="1:11" ht="46" customHeight="1">
      <c r="A599" s="19">
        <v>595</v>
      </c>
      <c r="B599" s="19" t="s">
        <v>2338</v>
      </c>
      <c r="C599" s="20" t="s">
        <v>2339</v>
      </c>
      <c r="D599" s="20" t="s">
        <v>2339</v>
      </c>
      <c r="E599" s="21"/>
      <c r="F599" s="20"/>
      <c r="G599" s="19" t="s">
        <v>2354</v>
      </c>
      <c r="H599" s="21" t="s">
        <v>1338</v>
      </c>
      <c r="I599" s="21" t="s">
        <v>16</v>
      </c>
      <c r="J599" s="20" t="s">
        <v>218</v>
      </c>
      <c r="K599" s="20" t="s">
        <v>2355</v>
      </c>
    </row>
    <row r="600" spans="1:11" ht="46" customHeight="1">
      <c r="A600" s="19">
        <v>596</v>
      </c>
      <c r="B600" s="19" t="s">
        <v>2338</v>
      </c>
      <c r="C600" s="20" t="s">
        <v>2339</v>
      </c>
      <c r="D600" s="20" t="s">
        <v>2339</v>
      </c>
      <c r="E600" s="21"/>
      <c r="F600" s="20"/>
      <c r="G600" s="19" t="s">
        <v>2356</v>
      </c>
      <c r="H600" s="21" t="s">
        <v>2357</v>
      </c>
      <c r="I600" s="21" t="s">
        <v>16</v>
      </c>
      <c r="J600" s="20" t="s">
        <v>2358</v>
      </c>
      <c r="K600" s="20" t="s">
        <v>2359</v>
      </c>
    </row>
    <row r="601" spans="1:11" ht="46" customHeight="1">
      <c r="A601" s="19">
        <v>597</v>
      </c>
      <c r="B601" s="19" t="s">
        <v>2338</v>
      </c>
      <c r="C601" s="20" t="s">
        <v>2339</v>
      </c>
      <c r="D601" s="20" t="s">
        <v>2339</v>
      </c>
      <c r="E601" s="21"/>
      <c r="F601" s="20"/>
      <c r="G601" s="19" t="s">
        <v>2360</v>
      </c>
      <c r="H601" s="21" t="s">
        <v>2361</v>
      </c>
      <c r="I601" s="21" t="s">
        <v>16</v>
      </c>
      <c r="J601" s="20" t="s">
        <v>2362</v>
      </c>
      <c r="K601" s="20" t="s">
        <v>2363</v>
      </c>
    </row>
    <row r="602" spans="1:11" ht="46" customHeight="1">
      <c r="A602" s="19">
        <v>598</v>
      </c>
      <c r="B602" s="19" t="s">
        <v>2338</v>
      </c>
      <c r="C602" s="20" t="s">
        <v>2339</v>
      </c>
      <c r="D602" s="20" t="s">
        <v>2339</v>
      </c>
      <c r="E602" s="21"/>
      <c r="F602" s="20"/>
      <c r="G602" s="19" t="s">
        <v>2364</v>
      </c>
      <c r="H602" s="21" t="s">
        <v>2365</v>
      </c>
      <c r="I602" s="21" t="s">
        <v>16</v>
      </c>
      <c r="J602" s="20" t="s">
        <v>2366</v>
      </c>
      <c r="K602" s="20" t="s">
        <v>2367</v>
      </c>
    </row>
    <row r="603" spans="1:11" ht="46" customHeight="1">
      <c r="A603" s="19">
        <v>599</v>
      </c>
      <c r="B603" s="19" t="s">
        <v>2338</v>
      </c>
      <c r="C603" s="20" t="s">
        <v>2339</v>
      </c>
      <c r="D603" s="20" t="s">
        <v>2339</v>
      </c>
      <c r="E603" s="21"/>
      <c r="F603" s="20"/>
      <c r="G603" s="19" t="s">
        <v>2368</v>
      </c>
      <c r="H603" s="21" t="s">
        <v>1344</v>
      </c>
      <c r="I603" s="21" t="s">
        <v>16</v>
      </c>
      <c r="J603" s="20" t="s">
        <v>1130</v>
      </c>
      <c r="K603" s="20" t="s">
        <v>2369</v>
      </c>
    </row>
    <row r="604" spans="1:11" ht="46" customHeight="1">
      <c r="A604" s="19">
        <v>600</v>
      </c>
      <c r="B604" s="19" t="s">
        <v>2338</v>
      </c>
      <c r="C604" s="20" t="s">
        <v>2339</v>
      </c>
      <c r="D604" s="20" t="s">
        <v>2339</v>
      </c>
      <c r="E604" s="21"/>
      <c r="F604" s="20"/>
      <c r="G604" s="19" t="s">
        <v>2370</v>
      </c>
      <c r="H604" s="21" t="s">
        <v>2371</v>
      </c>
      <c r="I604" s="21" t="s">
        <v>16</v>
      </c>
      <c r="J604" s="20" t="s">
        <v>2372</v>
      </c>
      <c r="K604" s="20" t="s">
        <v>2373</v>
      </c>
    </row>
    <row r="605" spans="1:11" ht="46" customHeight="1">
      <c r="A605" s="19">
        <v>601</v>
      </c>
      <c r="B605" s="19" t="s">
        <v>2338</v>
      </c>
      <c r="C605" s="20" t="s">
        <v>2339</v>
      </c>
      <c r="D605" s="20" t="s">
        <v>2339</v>
      </c>
      <c r="E605" s="21"/>
      <c r="F605" s="20"/>
      <c r="G605" s="19" t="s">
        <v>2374</v>
      </c>
      <c r="H605" s="21" t="s">
        <v>2375</v>
      </c>
      <c r="I605" s="21" t="s">
        <v>16</v>
      </c>
      <c r="J605" s="20" t="s">
        <v>1126</v>
      </c>
      <c r="K605" s="20" t="s">
        <v>2376</v>
      </c>
    </row>
    <row r="606" spans="1:11" ht="46" customHeight="1">
      <c r="A606" s="19">
        <v>602</v>
      </c>
      <c r="B606" s="19" t="s">
        <v>2338</v>
      </c>
      <c r="C606" s="20" t="s">
        <v>2339</v>
      </c>
      <c r="D606" s="20" t="s">
        <v>2339</v>
      </c>
      <c r="E606" s="21"/>
      <c r="F606" s="20"/>
      <c r="G606" s="19" t="s">
        <v>2377</v>
      </c>
      <c r="H606" s="21" t="s">
        <v>2378</v>
      </c>
      <c r="I606" s="21" t="s">
        <v>16</v>
      </c>
      <c r="J606" s="20" t="s">
        <v>2379</v>
      </c>
      <c r="K606" s="20" t="s">
        <v>2380</v>
      </c>
    </row>
    <row r="607" spans="1:11" ht="46" customHeight="1">
      <c r="A607" s="19">
        <v>603</v>
      </c>
      <c r="B607" s="19" t="s">
        <v>2338</v>
      </c>
      <c r="C607" s="20" t="s">
        <v>2339</v>
      </c>
      <c r="D607" s="20" t="s">
        <v>2339</v>
      </c>
      <c r="E607" s="21"/>
      <c r="F607" s="20"/>
      <c r="G607" s="19" t="s">
        <v>2381</v>
      </c>
      <c r="H607" s="21" t="s">
        <v>2382</v>
      </c>
      <c r="I607" s="21" t="s">
        <v>16</v>
      </c>
      <c r="J607" s="20" t="s">
        <v>2383</v>
      </c>
      <c r="K607" s="20" t="s">
        <v>2384</v>
      </c>
    </row>
    <row r="608" spans="1:11" ht="46" customHeight="1">
      <c r="A608" s="19">
        <v>604</v>
      </c>
      <c r="B608" s="19" t="s">
        <v>2338</v>
      </c>
      <c r="C608" s="20" t="s">
        <v>2339</v>
      </c>
      <c r="D608" s="20" t="s">
        <v>2339</v>
      </c>
      <c r="E608" s="21"/>
      <c r="F608" s="20"/>
      <c r="G608" s="19" t="s">
        <v>2385</v>
      </c>
      <c r="H608" s="21" t="s">
        <v>2386</v>
      </c>
      <c r="I608" s="21" t="s">
        <v>16</v>
      </c>
      <c r="J608" s="20" t="s">
        <v>2387</v>
      </c>
      <c r="K608" s="20" t="s">
        <v>2388</v>
      </c>
    </row>
    <row r="609" spans="1:11" ht="46" customHeight="1">
      <c r="A609" s="19">
        <v>605</v>
      </c>
      <c r="B609" s="19" t="s">
        <v>2338</v>
      </c>
      <c r="C609" s="20" t="s">
        <v>2339</v>
      </c>
      <c r="D609" s="20" t="s">
        <v>2339</v>
      </c>
      <c r="E609" s="21"/>
      <c r="F609" s="20"/>
      <c r="G609" s="19" t="s">
        <v>2389</v>
      </c>
      <c r="H609" s="21" t="s">
        <v>2390</v>
      </c>
      <c r="I609" s="21" t="s">
        <v>16</v>
      </c>
      <c r="J609" s="20" t="s">
        <v>2391</v>
      </c>
      <c r="K609" s="20" t="s">
        <v>1315</v>
      </c>
    </row>
    <row r="610" spans="1:11" ht="46" customHeight="1">
      <c r="A610" s="19">
        <v>606</v>
      </c>
      <c r="B610" s="19" t="s">
        <v>2392</v>
      </c>
      <c r="C610" s="20" t="s">
        <v>2393</v>
      </c>
      <c r="D610" s="20" t="s">
        <v>2394</v>
      </c>
      <c r="E610" s="21" t="s">
        <v>2395</v>
      </c>
      <c r="F610" s="20" t="s">
        <v>2396</v>
      </c>
      <c r="G610" s="19" t="s">
        <v>2397</v>
      </c>
      <c r="H610" s="21" t="s">
        <v>2398</v>
      </c>
      <c r="I610" s="21" t="s">
        <v>20</v>
      </c>
      <c r="J610" s="20" t="s">
        <v>2399</v>
      </c>
      <c r="K610" s="20" t="s">
        <v>2400</v>
      </c>
    </row>
    <row r="611" spans="1:11" ht="46" customHeight="1">
      <c r="A611" s="19">
        <v>607</v>
      </c>
      <c r="B611" s="19" t="s">
        <v>2392</v>
      </c>
      <c r="C611" s="20" t="s">
        <v>2393</v>
      </c>
      <c r="D611" s="20" t="s">
        <v>2394</v>
      </c>
      <c r="E611" s="21" t="s">
        <v>2395</v>
      </c>
      <c r="F611" s="20" t="s">
        <v>2396</v>
      </c>
      <c r="G611" s="19" t="s">
        <v>2401</v>
      </c>
      <c r="H611" s="21" t="s">
        <v>2402</v>
      </c>
      <c r="I611" s="21" t="s">
        <v>20</v>
      </c>
      <c r="J611" s="20" t="s">
        <v>2399</v>
      </c>
      <c r="K611" s="20" t="s">
        <v>2403</v>
      </c>
    </row>
    <row r="612" spans="1:11" ht="46" customHeight="1">
      <c r="A612" s="19">
        <v>608</v>
      </c>
      <c r="B612" s="19" t="s">
        <v>2392</v>
      </c>
      <c r="C612" s="20" t="s">
        <v>2393</v>
      </c>
      <c r="D612" s="20" t="s">
        <v>2394</v>
      </c>
      <c r="E612" s="21" t="s">
        <v>2395</v>
      </c>
      <c r="F612" s="20" t="s">
        <v>2396</v>
      </c>
      <c r="G612" s="19" t="s">
        <v>2404</v>
      </c>
      <c r="H612" s="21" t="s">
        <v>2405</v>
      </c>
      <c r="I612" s="21" t="s">
        <v>20</v>
      </c>
      <c r="J612" s="20" t="s">
        <v>2406</v>
      </c>
      <c r="K612" s="20" t="s">
        <v>2407</v>
      </c>
    </row>
    <row r="613" spans="1:11" ht="46" customHeight="1">
      <c r="A613" s="19">
        <v>609</v>
      </c>
      <c r="B613" s="19" t="s">
        <v>2392</v>
      </c>
      <c r="C613" s="20" t="s">
        <v>2393</v>
      </c>
      <c r="D613" s="20" t="s">
        <v>2394</v>
      </c>
      <c r="E613" s="21" t="s">
        <v>2395</v>
      </c>
      <c r="F613" s="20" t="s">
        <v>2396</v>
      </c>
      <c r="G613" s="19" t="s">
        <v>2408</v>
      </c>
      <c r="H613" s="21" t="s">
        <v>2409</v>
      </c>
      <c r="I613" s="21" t="s">
        <v>20</v>
      </c>
      <c r="J613" s="20" t="s">
        <v>2399</v>
      </c>
      <c r="K613" s="20" t="s">
        <v>2410</v>
      </c>
    </row>
    <row r="614" spans="1:11" ht="46" customHeight="1">
      <c r="A614" s="19">
        <v>610</v>
      </c>
      <c r="B614" s="19" t="s">
        <v>2392</v>
      </c>
      <c r="C614" s="20" t="s">
        <v>2393</v>
      </c>
      <c r="D614" s="20" t="s">
        <v>2394</v>
      </c>
      <c r="E614" s="21" t="s">
        <v>2395</v>
      </c>
      <c r="F614" s="20" t="s">
        <v>2396</v>
      </c>
      <c r="G614" s="19" t="s">
        <v>2411</v>
      </c>
      <c r="H614" s="21" t="s">
        <v>2412</v>
      </c>
      <c r="I614" s="21" t="s">
        <v>20</v>
      </c>
      <c r="J614" s="20" t="s">
        <v>2399</v>
      </c>
      <c r="K614" s="20" t="s">
        <v>2413</v>
      </c>
    </row>
    <row r="615" spans="1:11" ht="46" customHeight="1">
      <c r="A615" s="19">
        <v>611</v>
      </c>
      <c r="B615" s="19" t="s">
        <v>2392</v>
      </c>
      <c r="C615" s="20" t="s">
        <v>2393</v>
      </c>
      <c r="D615" s="20" t="s">
        <v>2394</v>
      </c>
      <c r="E615" s="21" t="s">
        <v>2395</v>
      </c>
      <c r="F615" s="20" t="s">
        <v>2396</v>
      </c>
      <c r="G615" s="19" t="s">
        <v>2414</v>
      </c>
      <c r="H615" s="21" t="s">
        <v>2415</v>
      </c>
      <c r="I615" s="21" t="s">
        <v>20</v>
      </c>
      <c r="J615" s="20" t="s">
        <v>2399</v>
      </c>
      <c r="K615" s="20" t="s">
        <v>2416</v>
      </c>
    </row>
    <row r="616" spans="1:11" ht="46" customHeight="1">
      <c r="A616" s="19">
        <v>612</v>
      </c>
      <c r="B616" s="19" t="s">
        <v>2392</v>
      </c>
      <c r="C616" s="20" t="s">
        <v>2417</v>
      </c>
      <c r="D616" s="20" t="s">
        <v>2394</v>
      </c>
      <c r="E616" s="21" t="s">
        <v>2418</v>
      </c>
      <c r="F616" s="20" t="s">
        <v>2419</v>
      </c>
      <c r="G616" s="19" t="s">
        <v>2420</v>
      </c>
      <c r="H616" s="21" t="s">
        <v>2421</v>
      </c>
      <c r="I616" s="21" t="s">
        <v>20</v>
      </c>
      <c r="J616" s="20" t="s">
        <v>2399</v>
      </c>
      <c r="K616" s="20" t="s">
        <v>2422</v>
      </c>
    </row>
    <row r="617" spans="1:11" ht="46" customHeight="1">
      <c r="A617" s="19">
        <v>613</v>
      </c>
      <c r="B617" s="19" t="s">
        <v>2392</v>
      </c>
      <c r="C617" s="20" t="s">
        <v>2417</v>
      </c>
      <c r="D617" s="20" t="s">
        <v>2394</v>
      </c>
      <c r="E617" s="21" t="s">
        <v>2418</v>
      </c>
      <c r="F617" s="20" t="s">
        <v>2419</v>
      </c>
      <c r="G617" s="19" t="s">
        <v>2423</v>
      </c>
      <c r="H617" s="21" t="s">
        <v>2424</v>
      </c>
      <c r="I617" s="21" t="s">
        <v>20</v>
      </c>
      <c r="J617" s="20" t="s">
        <v>2425</v>
      </c>
      <c r="K617" s="20" t="s">
        <v>2426</v>
      </c>
    </row>
    <row r="618" spans="1:11" ht="46" customHeight="1">
      <c r="A618" s="19">
        <v>614</v>
      </c>
      <c r="B618" s="19" t="s">
        <v>2392</v>
      </c>
      <c r="C618" s="20" t="s">
        <v>2417</v>
      </c>
      <c r="D618" s="20" t="s">
        <v>2394</v>
      </c>
      <c r="E618" s="21" t="s">
        <v>2418</v>
      </c>
      <c r="F618" s="20" t="s">
        <v>2419</v>
      </c>
      <c r="G618" s="19" t="s">
        <v>2427</v>
      </c>
      <c r="H618" s="21" t="s">
        <v>2428</v>
      </c>
      <c r="I618" s="21" t="s">
        <v>20</v>
      </c>
      <c r="J618" s="20" t="s">
        <v>2399</v>
      </c>
      <c r="K618" s="20" t="s">
        <v>2429</v>
      </c>
    </row>
    <row r="619" spans="1:11" ht="46" customHeight="1">
      <c r="A619" s="19">
        <v>615</v>
      </c>
      <c r="B619" s="19" t="s">
        <v>2392</v>
      </c>
      <c r="C619" s="20" t="s">
        <v>2417</v>
      </c>
      <c r="D619" s="20" t="s">
        <v>2394</v>
      </c>
      <c r="E619" s="21" t="s">
        <v>2418</v>
      </c>
      <c r="F619" s="20" t="s">
        <v>2419</v>
      </c>
      <c r="G619" s="19" t="s">
        <v>2430</v>
      </c>
      <c r="H619" s="21" t="s">
        <v>2431</v>
      </c>
      <c r="I619" s="21" t="s">
        <v>20</v>
      </c>
      <c r="J619" s="20" t="s">
        <v>2399</v>
      </c>
      <c r="K619" s="20" t="s">
        <v>2432</v>
      </c>
    </row>
    <row r="620" spans="1:11" ht="46" customHeight="1">
      <c r="A620" s="19">
        <v>616</v>
      </c>
      <c r="B620" s="19" t="s">
        <v>2392</v>
      </c>
      <c r="C620" s="20" t="s">
        <v>2417</v>
      </c>
      <c r="D620" s="20" t="s">
        <v>2394</v>
      </c>
      <c r="E620" s="21" t="s">
        <v>2418</v>
      </c>
      <c r="F620" s="20" t="s">
        <v>2419</v>
      </c>
      <c r="G620" s="19" t="s">
        <v>2433</v>
      </c>
      <c r="H620" s="21" t="s">
        <v>2434</v>
      </c>
      <c r="I620" s="21" t="s">
        <v>20</v>
      </c>
      <c r="J620" s="20" t="s">
        <v>2399</v>
      </c>
      <c r="K620" s="20" t="s">
        <v>2435</v>
      </c>
    </row>
    <row r="621" spans="1:11" ht="46" customHeight="1">
      <c r="A621" s="19">
        <v>617</v>
      </c>
      <c r="B621" s="19" t="s">
        <v>2392</v>
      </c>
      <c r="C621" s="20" t="s">
        <v>2417</v>
      </c>
      <c r="D621" s="20" t="s">
        <v>2394</v>
      </c>
      <c r="E621" s="21" t="s">
        <v>2418</v>
      </c>
      <c r="F621" s="20" t="s">
        <v>2419</v>
      </c>
      <c r="G621" s="19" t="s">
        <v>2436</v>
      </c>
      <c r="H621" s="21" t="s">
        <v>2437</v>
      </c>
      <c r="I621" s="21" t="s">
        <v>20</v>
      </c>
      <c r="J621" s="20" t="s">
        <v>2399</v>
      </c>
      <c r="K621" s="20" t="s">
        <v>2438</v>
      </c>
    </row>
    <row r="622" spans="1:11" ht="46" customHeight="1">
      <c r="A622" s="19">
        <v>618</v>
      </c>
      <c r="B622" s="19" t="s">
        <v>2392</v>
      </c>
      <c r="C622" s="20" t="s">
        <v>2439</v>
      </c>
      <c r="D622" s="20" t="s">
        <v>2394</v>
      </c>
      <c r="E622" s="21" t="s">
        <v>2440</v>
      </c>
      <c r="F622" s="20" t="s">
        <v>2441</v>
      </c>
      <c r="G622" s="19" t="s">
        <v>2442</v>
      </c>
      <c r="H622" s="21" t="s">
        <v>2443</v>
      </c>
      <c r="I622" s="21" t="s">
        <v>20</v>
      </c>
      <c r="J622" s="20" t="s">
        <v>2399</v>
      </c>
      <c r="K622" s="20" t="s">
        <v>2444</v>
      </c>
    </row>
    <row r="623" spans="1:11" ht="46" customHeight="1">
      <c r="A623" s="19">
        <v>619</v>
      </c>
      <c r="B623" s="19" t="s">
        <v>2392</v>
      </c>
      <c r="C623" s="20" t="s">
        <v>2439</v>
      </c>
      <c r="D623" s="20" t="s">
        <v>2394</v>
      </c>
      <c r="E623" s="21" t="s">
        <v>2440</v>
      </c>
      <c r="F623" s="20" t="s">
        <v>2441</v>
      </c>
      <c r="G623" s="19" t="s">
        <v>2445</v>
      </c>
      <c r="H623" s="21" t="s">
        <v>2446</v>
      </c>
      <c r="I623" s="21" t="s">
        <v>20</v>
      </c>
      <c r="J623" s="20" t="s">
        <v>2399</v>
      </c>
      <c r="K623" s="20" t="s">
        <v>2447</v>
      </c>
    </row>
    <row r="624" spans="1:11" ht="46" customHeight="1">
      <c r="A624" s="19">
        <v>620</v>
      </c>
      <c r="B624" s="19" t="s">
        <v>2392</v>
      </c>
      <c r="C624" s="20" t="s">
        <v>2439</v>
      </c>
      <c r="D624" s="20" t="s">
        <v>2394</v>
      </c>
      <c r="E624" s="21" t="s">
        <v>2440</v>
      </c>
      <c r="F624" s="20" t="s">
        <v>2441</v>
      </c>
      <c r="G624" s="19" t="s">
        <v>2448</v>
      </c>
      <c r="H624" s="21" t="s">
        <v>2449</v>
      </c>
      <c r="I624" s="21" t="s">
        <v>20</v>
      </c>
      <c r="J624" s="20" t="s">
        <v>2450</v>
      </c>
      <c r="K624" s="20" t="s">
        <v>2451</v>
      </c>
    </row>
    <row r="625" spans="1:11" ht="46" customHeight="1">
      <c r="A625" s="19">
        <v>621</v>
      </c>
      <c r="B625" s="19" t="s">
        <v>2392</v>
      </c>
      <c r="C625" s="20" t="s">
        <v>2439</v>
      </c>
      <c r="D625" s="20" t="s">
        <v>2394</v>
      </c>
      <c r="E625" s="21" t="s">
        <v>2440</v>
      </c>
      <c r="F625" s="20" t="s">
        <v>2441</v>
      </c>
      <c r="G625" s="19" t="s">
        <v>2452</v>
      </c>
      <c r="H625" s="21" t="s">
        <v>2453</v>
      </c>
      <c r="I625" s="21" t="s">
        <v>20</v>
      </c>
      <c r="J625" s="20" t="s">
        <v>2399</v>
      </c>
      <c r="K625" s="20" t="s">
        <v>2454</v>
      </c>
    </row>
    <row r="626" spans="1:11" ht="46" customHeight="1">
      <c r="A626" s="19">
        <v>622</v>
      </c>
      <c r="B626" s="19" t="s">
        <v>2392</v>
      </c>
      <c r="C626" s="20" t="s">
        <v>2439</v>
      </c>
      <c r="D626" s="20" t="s">
        <v>2394</v>
      </c>
      <c r="E626" s="21" t="s">
        <v>2440</v>
      </c>
      <c r="F626" s="20" t="s">
        <v>2441</v>
      </c>
      <c r="G626" s="19" t="s">
        <v>2455</v>
      </c>
      <c r="H626" s="21" t="s">
        <v>2456</v>
      </c>
      <c r="I626" s="21" t="s">
        <v>20</v>
      </c>
      <c r="J626" s="20" t="s">
        <v>2399</v>
      </c>
      <c r="K626" s="20" t="s">
        <v>2457</v>
      </c>
    </row>
    <row r="627" spans="1:11" ht="46" customHeight="1">
      <c r="A627" s="19">
        <v>623</v>
      </c>
      <c r="B627" s="19" t="s">
        <v>2392</v>
      </c>
      <c r="C627" s="20" t="s">
        <v>2439</v>
      </c>
      <c r="D627" s="20" t="s">
        <v>2394</v>
      </c>
      <c r="E627" s="21" t="s">
        <v>2440</v>
      </c>
      <c r="F627" s="20" t="s">
        <v>2441</v>
      </c>
      <c r="G627" s="19" t="s">
        <v>2458</v>
      </c>
      <c r="H627" s="21" t="s">
        <v>2459</v>
      </c>
      <c r="I627" s="21" t="s">
        <v>20</v>
      </c>
      <c r="J627" s="20" t="s">
        <v>2399</v>
      </c>
      <c r="K627" s="20" t="s">
        <v>2460</v>
      </c>
    </row>
    <row r="628" spans="1:11" ht="46" customHeight="1">
      <c r="A628" s="19">
        <v>624</v>
      </c>
      <c r="B628" s="19" t="s">
        <v>2392</v>
      </c>
      <c r="C628" s="20" t="s">
        <v>2461</v>
      </c>
      <c r="D628" s="20" t="s">
        <v>2394</v>
      </c>
      <c r="E628" s="21" t="s">
        <v>2462</v>
      </c>
      <c r="F628" s="20" t="s">
        <v>2463</v>
      </c>
      <c r="G628" s="19" t="s">
        <v>2464</v>
      </c>
      <c r="H628" s="21" t="s">
        <v>2465</v>
      </c>
      <c r="I628" s="21" t="s">
        <v>20</v>
      </c>
      <c r="J628" s="20" t="s">
        <v>2425</v>
      </c>
      <c r="K628" s="20" t="s">
        <v>2466</v>
      </c>
    </row>
    <row r="629" spans="1:11" ht="46" customHeight="1">
      <c r="A629" s="19">
        <v>625</v>
      </c>
      <c r="B629" s="19" t="s">
        <v>2392</v>
      </c>
      <c r="C629" s="20" t="s">
        <v>2461</v>
      </c>
      <c r="D629" s="20" t="s">
        <v>2394</v>
      </c>
      <c r="E629" s="21" t="s">
        <v>2462</v>
      </c>
      <c r="F629" s="20" t="s">
        <v>2463</v>
      </c>
      <c r="G629" s="19" t="s">
        <v>2467</v>
      </c>
      <c r="H629" s="21" t="s">
        <v>2468</v>
      </c>
      <c r="I629" s="21" t="s">
        <v>20</v>
      </c>
      <c r="J629" s="20" t="s">
        <v>2469</v>
      </c>
      <c r="K629" s="20" t="s">
        <v>2470</v>
      </c>
    </row>
    <row r="630" spans="1:11" ht="46" customHeight="1">
      <c r="A630" s="19">
        <v>626</v>
      </c>
      <c r="B630" s="19" t="s">
        <v>2392</v>
      </c>
      <c r="C630" s="20" t="s">
        <v>2461</v>
      </c>
      <c r="D630" s="20" t="s">
        <v>2394</v>
      </c>
      <c r="E630" s="21" t="s">
        <v>2462</v>
      </c>
      <c r="F630" s="20" t="s">
        <v>2463</v>
      </c>
      <c r="G630" s="19" t="s">
        <v>2471</v>
      </c>
      <c r="H630" s="21" t="s">
        <v>2472</v>
      </c>
      <c r="I630" s="21" t="s">
        <v>20</v>
      </c>
      <c r="J630" s="20" t="s">
        <v>2399</v>
      </c>
      <c r="K630" s="20" t="s">
        <v>2473</v>
      </c>
    </row>
    <row r="631" spans="1:11" ht="46" customHeight="1">
      <c r="A631" s="19">
        <v>627</v>
      </c>
      <c r="B631" s="19" t="s">
        <v>2392</v>
      </c>
      <c r="C631" s="20" t="s">
        <v>2461</v>
      </c>
      <c r="D631" s="20" t="s">
        <v>2394</v>
      </c>
      <c r="E631" s="21" t="s">
        <v>2462</v>
      </c>
      <c r="F631" s="20" t="s">
        <v>2463</v>
      </c>
      <c r="G631" s="19" t="s">
        <v>2474</v>
      </c>
      <c r="H631" s="21" t="s">
        <v>2475</v>
      </c>
      <c r="I631" s="21" t="s">
        <v>20</v>
      </c>
      <c r="J631" s="20" t="s">
        <v>2399</v>
      </c>
      <c r="K631" s="20" t="s">
        <v>2476</v>
      </c>
    </row>
    <row r="632" spans="1:11" ht="46" customHeight="1">
      <c r="A632" s="19">
        <v>628</v>
      </c>
      <c r="B632" s="19" t="s">
        <v>2392</v>
      </c>
      <c r="C632" s="20" t="s">
        <v>2461</v>
      </c>
      <c r="D632" s="20" t="s">
        <v>2394</v>
      </c>
      <c r="E632" s="21" t="s">
        <v>2462</v>
      </c>
      <c r="F632" s="20" t="s">
        <v>2463</v>
      </c>
      <c r="G632" s="19" t="s">
        <v>2477</v>
      </c>
      <c r="H632" s="21" t="s">
        <v>2478</v>
      </c>
      <c r="I632" s="21" t="s">
        <v>20</v>
      </c>
      <c r="J632" s="20" t="s">
        <v>2425</v>
      </c>
      <c r="K632" s="20" t="s">
        <v>2479</v>
      </c>
    </row>
    <row r="633" spans="1:11" ht="46" customHeight="1">
      <c r="A633" s="19">
        <v>629</v>
      </c>
      <c r="B633" s="19" t="s">
        <v>2392</v>
      </c>
      <c r="C633" s="20" t="s">
        <v>2461</v>
      </c>
      <c r="D633" s="20" t="s">
        <v>2394</v>
      </c>
      <c r="E633" s="21" t="s">
        <v>2462</v>
      </c>
      <c r="F633" s="20" t="s">
        <v>2463</v>
      </c>
      <c r="G633" s="19" t="s">
        <v>2480</v>
      </c>
      <c r="H633" s="21" t="s">
        <v>2481</v>
      </c>
      <c r="I633" s="21" t="s">
        <v>20</v>
      </c>
      <c r="J633" s="20" t="s">
        <v>2406</v>
      </c>
      <c r="K633" s="20" t="s">
        <v>2482</v>
      </c>
    </row>
    <row r="634" spans="1:11" ht="46" customHeight="1">
      <c r="A634" s="19">
        <v>630</v>
      </c>
      <c r="B634" s="19" t="s">
        <v>2392</v>
      </c>
      <c r="C634" s="20" t="s">
        <v>2483</v>
      </c>
      <c r="D634" s="20" t="s">
        <v>2394</v>
      </c>
      <c r="E634" s="21" t="s">
        <v>2484</v>
      </c>
      <c r="F634" s="20" t="s">
        <v>2485</v>
      </c>
      <c r="G634" s="19" t="s">
        <v>2486</v>
      </c>
      <c r="H634" s="21" t="s">
        <v>2487</v>
      </c>
      <c r="I634" s="21" t="s">
        <v>20</v>
      </c>
      <c r="J634" s="20" t="s">
        <v>2399</v>
      </c>
      <c r="K634" s="20" t="s">
        <v>2488</v>
      </c>
    </row>
    <row r="635" spans="1:11" ht="46" customHeight="1">
      <c r="A635" s="19">
        <v>631</v>
      </c>
      <c r="B635" s="19" t="s">
        <v>2392</v>
      </c>
      <c r="C635" s="20" t="s">
        <v>2483</v>
      </c>
      <c r="D635" s="20" t="s">
        <v>2394</v>
      </c>
      <c r="E635" s="21" t="s">
        <v>2484</v>
      </c>
      <c r="F635" s="20" t="s">
        <v>2485</v>
      </c>
      <c r="G635" s="19" t="s">
        <v>2489</v>
      </c>
      <c r="H635" s="21" t="s">
        <v>2490</v>
      </c>
      <c r="I635" s="21" t="s">
        <v>20</v>
      </c>
      <c r="J635" s="20" t="s">
        <v>2450</v>
      </c>
      <c r="K635" s="20" t="s">
        <v>2491</v>
      </c>
    </row>
    <row r="636" spans="1:11" ht="46" customHeight="1">
      <c r="A636" s="19">
        <v>632</v>
      </c>
      <c r="B636" s="19" t="s">
        <v>2392</v>
      </c>
      <c r="C636" s="20" t="s">
        <v>2483</v>
      </c>
      <c r="D636" s="20" t="s">
        <v>2394</v>
      </c>
      <c r="E636" s="21" t="s">
        <v>2484</v>
      </c>
      <c r="F636" s="20" t="s">
        <v>2485</v>
      </c>
      <c r="G636" s="19" t="s">
        <v>2492</v>
      </c>
      <c r="H636" s="21" t="s">
        <v>2493</v>
      </c>
      <c r="I636" s="21" t="s">
        <v>20</v>
      </c>
      <c r="J636" s="20" t="s">
        <v>2450</v>
      </c>
      <c r="K636" s="20" t="s">
        <v>2494</v>
      </c>
    </row>
    <row r="637" spans="1:11" ht="46" customHeight="1">
      <c r="A637" s="19">
        <v>633</v>
      </c>
      <c r="B637" s="19" t="s">
        <v>2392</v>
      </c>
      <c r="C637" s="20" t="s">
        <v>2483</v>
      </c>
      <c r="D637" s="20" t="s">
        <v>2394</v>
      </c>
      <c r="E637" s="21" t="s">
        <v>2484</v>
      </c>
      <c r="F637" s="20" t="s">
        <v>2485</v>
      </c>
      <c r="G637" s="19" t="s">
        <v>2495</v>
      </c>
      <c r="H637" s="21" t="s">
        <v>2496</v>
      </c>
      <c r="I637" s="21" t="s">
        <v>20</v>
      </c>
      <c r="J637" s="20" t="s">
        <v>2399</v>
      </c>
      <c r="K637" s="20" t="s">
        <v>2497</v>
      </c>
    </row>
    <row r="638" spans="1:11" ht="46" customHeight="1">
      <c r="A638" s="19">
        <v>634</v>
      </c>
      <c r="B638" s="19" t="s">
        <v>2392</v>
      </c>
      <c r="C638" s="20" t="s">
        <v>2483</v>
      </c>
      <c r="D638" s="20" t="s">
        <v>2394</v>
      </c>
      <c r="E638" s="21" t="s">
        <v>2484</v>
      </c>
      <c r="F638" s="20" t="s">
        <v>2485</v>
      </c>
      <c r="G638" s="19" t="s">
        <v>2498</v>
      </c>
      <c r="H638" s="21" t="s">
        <v>2499</v>
      </c>
      <c r="I638" s="21" t="s">
        <v>20</v>
      </c>
      <c r="J638" s="20" t="s">
        <v>2399</v>
      </c>
      <c r="K638" s="20" t="s">
        <v>2500</v>
      </c>
    </row>
    <row r="639" spans="1:11" ht="46" customHeight="1">
      <c r="A639" s="19">
        <v>635</v>
      </c>
      <c r="B639" s="19" t="s">
        <v>2392</v>
      </c>
      <c r="C639" s="20" t="s">
        <v>2483</v>
      </c>
      <c r="D639" s="20" t="s">
        <v>2394</v>
      </c>
      <c r="E639" s="21" t="s">
        <v>2484</v>
      </c>
      <c r="F639" s="20" t="s">
        <v>2485</v>
      </c>
      <c r="G639" s="19" t="s">
        <v>2501</v>
      </c>
      <c r="H639" s="21" t="s">
        <v>2502</v>
      </c>
      <c r="I639" s="21" t="s">
        <v>20</v>
      </c>
      <c r="J639" s="20" t="s">
        <v>2450</v>
      </c>
      <c r="K639" s="20" t="s">
        <v>2503</v>
      </c>
    </row>
    <row r="640" spans="1:11" ht="46" customHeight="1">
      <c r="A640" s="19">
        <v>636</v>
      </c>
      <c r="B640" s="19" t="s">
        <v>2392</v>
      </c>
      <c r="C640" s="20" t="s">
        <v>2504</v>
      </c>
      <c r="D640" s="20" t="s">
        <v>2394</v>
      </c>
      <c r="E640" s="21" t="s">
        <v>2505</v>
      </c>
      <c r="F640" s="20" t="s">
        <v>2506</v>
      </c>
      <c r="G640" s="19" t="s">
        <v>2507</v>
      </c>
      <c r="H640" s="21" t="s">
        <v>2508</v>
      </c>
      <c r="I640" s="21" t="s">
        <v>20</v>
      </c>
      <c r="J640" s="20" t="s">
        <v>2399</v>
      </c>
      <c r="K640" s="20" t="s">
        <v>2509</v>
      </c>
    </row>
    <row r="641" spans="1:11" ht="46" customHeight="1">
      <c r="A641" s="19">
        <v>637</v>
      </c>
      <c r="B641" s="19" t="s">
        <v>2392</v>
      </c>
      <c r="C641" s="20" t="s">
        <v>2504</v>
      </c>
      <c r="D641" s="20" t="s">
        <v>2394</v>
      </c>
      <c r="E641" s="21" t="s">
        <v>2505</v>
      </c>
      <c r="F641" s="20" t="s">
        <v>2506</v>
      </c>
      <c r="G641" s="19" t="s">
        <v>2510</v>
      </c>
      <c r="H641" s="21" t="s">
        <v>2511</v>
      </c>
      <c r="I641" s="21" t="s">
        <v>20</v>
      </c>
      <c r="J641" s="20" t="s">
        <v>2399</v>
      </c>
      <c r="K641" s="20" t="s">
        <v>2512</v>
      </c>
    </row>
    <row r="642" spans="1:11" ht="46" customHeight="1">
      <c r="A642" s="19">
        <v>638</v>
      </c>
      <c r="B642" s="19" t="s">
        <v>2392</v>
      </c>
      <c r="C642" s="20" t="s">
        <v>2504</v>
      </c>
      <c r="D642" s="20" t="s">
        <v>2394</v>
      </c>
      <c r="E642" s="21" t="s">
        <v>2505</v>
      </c>
      <c r="F642" s="20" t="s">
        <v>2506</v>
      </c>
      <c r="G642" s="19" t="s">
        <v>2513</v>
      </c>
      <c r="H642" s="21" t="s">
        <v>2514</v>
      </c>
      <c r="I642" s="21" t="s">
        <v>20</v>
      </c>
      <c r="J642" s="20" t="s">
        <v>2406</v>
      </c>
      <c r="K642" s="20" t="s">
        <v>2515</v>
      </c>
    </row>
    <row r="643" spans="1:11" ht="46" customHeight="1">
      <c r="A643" s="19">
        <v>639</v>
      </c>
      <c r="B643" s="19" t="s">
        <v>2392</v>
      </c>
      <c r="C643" s="20" t="s">
        <v>2504</v>
      </c>
      <c r="D643" s="20" t="s">
        <v>2394</v>
      </c>
      <c r="E643" s="21" t="s">
        <v>2505</v>
      </c>
      <c r="F643" s="20" t="s">
        <v>2506</v>
      </c>
      <c r="G643" s="19" t="s">
        <v>2516</v>
      </c>
      <c r="H643" s="21" t="s">
        <v>2517</v>
      </c>
      <c r="I643" s="21" t="s">
        <v>20</v>
      </c>
      <c r="J643" s="20" t="s">
        <v>2399</v>
      </c>
      <c r="K643" s="20" t="s">
        <v>2518</v>
      </c>
    </row>
    <row r="644" spans="1:11" ht="46" customHeight="1">
      <c r="A644" s="19">
        <v>640</v>
      </c>
      <c r="B644" s="19" t="s">
        <v>2392</v>
      </c>
      <c r="C644" s="20" t="s">
        <v>2504</v>
      </c>
      <c r="D644" s="20" t="s">
        <v>2394</v>
      </c>
      <c r="E644" s="21" t="s">
        <v>2505</v>
      </c>
      <c r="F644" s="20" t="s">
        <v>2506</v>
      </c>
      <c r="G644" s="19" t="s">
        <v>2519</v>
      </c>
      <c r="H644" s="21" t="s">
        <v>2520</v>
      </c>
      <c r="I644" s="21" t="s">
        <v>20</v>
      </c>
      <c r="J644" s="20" t="s">
        <v>2399</v>
      </c>
      <c r="K644" s="20" t="s">
        <v>2521</v>
      </c>
    </row>
    <row r="645" spans="1:11" ht="46" customHeight="1">
      <c r="A645" s="19">
        <v>641</v>
      </c>
      <c r="B645" s="19" t="s">
        <v>2392</v>
      </c>
      <c r="C645" s="20" t="s">
        <v>2504</v>
      </c>
      <c r="D645" s="20" t="s">
        <v>2394</v>
      </c>
      <c r="E645" s="21" t="s">
        <v>2505</v>
      </c>
      <c r="F645" s="20" t="s">
        <v>2506</v>
      </c>
      <c r="G645" s="19" t="s">
        <v>2522</v>
      </c>
      <c r="H645" s="21" t="s">
        <v>2523</v>
      </c>
      <c r="I645" s="21" t="s">
        <v>20</v>
      </c>
      <c r="J645" s="20" t="s">
        <v>2425</v>
      </c>
      <c r="K645" s="20" t="s">
        <v>2524</v>
      </c>
    </row>
    <row r="646" spans="1:11" ht="46" customHeight="1">
      <c r="A646" s="19">
        <v>642</v>
      </c>
      <c r="B646" s="19" t="s">
        <v>2392</v>
      </c>
      <c r="C646" s="20" t="s">
        <v>2525</v>
      </c>
      <c r="D646" s="20" t="s">
        <v>2394</v>
      </c>
      <c r="E646" s="21" t="s">
        <v>2526</v>
      </c>
      <c r="F646" s="20" t="s">
        <v>2527</v>
      </c>
      <c r="G646" s="19" t="s">
        <v>2528</v>
      </c>
      <c r="H646" s="21" t="s">
        <v>2529</v>
      </c>
      <c r="I646" s="21" t="s">
        <v>20</v>
      </c>
      <c r="J646" s="20" t="s">
        <v>2399</v>
      </c>
      <c r="K646" s="20" t="s">
        <v>2530</v>
      </c>
    </row>
    <row r="647" spans="1:11" ht="46" customHeight="1">
      <c r="A647" s="19">
        <v>643</v>
      </c>
      <c r="B647" s="19" t="s">
        <v>2392</v>
      </c>
      <c r="C647" s="20" t="s">
        <v>2525</v>
      </c>
      <c r="D647" s="20" t="s">
        <v>2394</v>
      </c>
      <c r="E647" s="21" t="s">
        <v>2526</v>
      </c>
      <c r="F647" s="20" t="s">
        <v>2527</v>
      </c>
      <c r="G647" s="19" t="s">
        <v>2531</v>
      </c>
      <c r="H647" s="21" t="s">
        <v>2532</v>
      </c>
      <c r="I647" s="21" t="s">
        <v>20</v>
      </c>
      <c r="J647" s="20" t="s">
        <v>2399</v>
      </c>
      <c r="K647" s="20" t="s">
        <v>2533</v>
      </c>
    </row>
    <row r="648" spans="1:11" ht="46" customHeight="1">
      <c r="A648" s="19">
        <v>644</v>
      </c>
      <c r="B648" s="19" t="s">
        <v>2392</v>
      </c>
      <c r="C648" s="20" t="s">
        <v>2525</v>
      </c>
      <c r="D648" s="20" t="s">
        <v>2394</v>
      </c>
      <c r="E648" s="21" t="s">
        <v>2526</v>
      </c>
      <c r="F648" s="20" t="s">
        <v>2527</v>
      </c>
      <c r="G648" s="19" t="s">
        <v>2534</v>
      </c>
      <c r="H648" s="21" t="s">
        <v>2535</v>
      </c>
      <c r="I648" s="21" t="s">
        <v>20</v>
      </c>
      <c r="J648" s="20" t="s">
        <v>2399</v>
      </c>
      <c r="K648" s="20" t="s">
        <v>2536</v>
      </c>
    </row>
    <row r="649" spans="1:11" ht="46" customHeight="1">
      <c r="A649" s="19">
        <v>645</v>
      </c>
      <c r="B649" s="19" t="s">
        <v>2392</v>
      </c>
      <c r="C649" s="20" t="s">
        <v>2525</v>
      </c>
      <c r="D649" s="20" t="s">
        <v>2394</v>
      </c>
      <c r="E649" s="21" t="s">
        <v>2526</v>
      </c>
      <c r="F649" s="20" t="s">
        <v>2527</v>
      </c>
      <c r="G649" s="19" t="s">
        <v>2537</v>
      </c>
      <c r="H649" s="21" t="s">
        <v>2538</v>
      </c>
      <c r="I649" s="21" t="s">
        <v>20</v>
      </c>
      <c r="J649" s="20" t="s">
        <v>2399</v>
      </c>
      <c r="K649" s="20" t="s">
        <v>2539</v>
      </c>
    </row>
    <row r="650" spans="1:11" ht="46" customHeight="1">
      <c r="A650" s="19">
        <v>646</v>
      </c>
      <c r="B650" s="19" t="s">
        <v>2392</v>
      </c>
      <c r="C650" s="20" t="s">
        <v>2525</v>
      </c>
      <c r="D650" s="20" t="s">
        <v>2394</v>
      </c>
      <c r="E650" s="21" t="s">
        <v>2526</v>
      </c>
      <c r="F650" s="20" t="s">
        <v>2527</v>
      </c>
      <c r="G650" s="19" t="s">
        <v>2540</v>
      </c>
      <c r="H650" s="21" t="s">
        <v>2541</v>
      </c>
      <c r="I650" s="21" t="s">
        <v>20</v>
      </c>
      <c r="J650" s="20" t="s">
        <v>2399</v>
      </c>
      <c r="K650" s="20" t="s">
        <v>2542</v>
      </c>
    </row>
    <row r="651" spans="1:11" ht="46" customHeight="1">
      <c r="A651" s="19">
        <v>647</v>
      </c>
      <c r="B651" s="19" t="s">
        <v>2392</v>
      </c>
      <c r="C651" s="20" t="s">
        <v>2525</v>
      </c>
      <c r="D651" s="20" t="s">
        <v>2394</v>
      </c>
      <c r="E651" s="21" t="s">
        <v>2526</v>
      </c>
      <c r="F651" s="20" t="s">
        <v>2527</v>
      </c>
      <c r="G651" s="19" t="s">
        <v>2543</v>
      </c>
      <c r="H651" s="21" t="s">
        <v>2544</v>
      </c>
      <c r="I651" s="21" t="s">
        <v>20</v>
      </c>
      <c r="J651" s="20" t="s">
        <v>2399</v>
      </c>
      <c r="K651" s="20" t="s">
        <v>2545</v>
      </c>
    </row>
    <row r="652" spans="1:11" ht="46" customHeight="1">
      <c r="A652" s="19">
        <v>648</v>
      </c>
      <c r="B652" s="19" t="s">
        <v>2392</v>
      </c>
      <c r="C652" s="20" t="s">
        <v>2546</v>
      </c>
      <c r="D652" s="20" t="s">
        <v>2394</v>
      </c>
      <c r="E652" s="21" t="s">
        <v>2547</v>
      </c>
      <c r="F652" s="20" t="s">
        <v>2548</v>
      </c>
      <c r="G652" s="19" t="s">
        <v>2549</v>
      </c>
      <c r="H652" s="21" t="s">
        <v>2550</v>
      </c>
      <c r="I652" s="21" t="s">
        <v>20</v>
      </c>
      <c r="J652" s="20" t="s">
        <v>2399</v>
      </c>
      <c r="K652" s="20" t="s">
        <v>2551</v>
      </c>
    </row>
    <row r="653" spans="1:11" ht="46" customHeight="1">
      <c r="A653" s="19">
        <v>649</v>
      </c>
      <c r="B653" s="19" t="s">
        <v>2392</v>
      </c>
      <c r="C653" s="20" t="s">
        <v>2546</v>
      </c>
      <c r="D653" s="20" t="s">
        <v>2394</v>
      </c>
      <c r="E653" s="21" t="s">
        <v>2547</v>
      </c>
      <c r="F653" s="20" t="s">
        <v>2548</v>
      </c>
      <c r="G653" s="19" t="s">
        <v>2552</v>
      </c>
      <c r="H653" s="21" t="s">
        <v>2553</v>
      </c>
      <c r="I653" s="21" t="s">
        <v>20</v>
      </c>
      <c r="J653" s="20" t="s">
        <v>2425</v>
      </c>
      <c r="K653" s="20" t="s">
        <v>2554</v>
      </c>
    </row>
    <row r="654" spans="1:11" ht="46" customHeight="1">
      <c r="A654" s="19">
        <v>650</v>
      </c>
      <c r="B654" s="19" t="s">
        <v>2392</v>
      </c>
      <c r="C654" s="20" t="s">
        <v>2546</v>
      </c>
      <c r="D654" s="20" t="s">
        <v>2394</v>
      </c>
      <c r="E654" s="21" t="s">
        <v>2547</v>
      </c>
      <c r="F654" s="20" t="s">
        <v>2548</v>
      </c>
      <c r="G654" s="19" t="s">
        <v>2555</v>
      </c>
      <c r="H654" s="21" t="s">
        <v>2556</v>
      </c>
      <c r="I654" s="21" t="s">
        <v>20</v>
      </c>
      <c r="J654" s="20" t="s">
        <v>2399</v>
      </c>
      <c r="K654" s="20" t="s">
        <v>2557</v>
      </c>
    </row>
    <row r="655" spans="1:11" ht="46" customHeight="1">
      <c r="A655" s="19">
        <v>651</v>
      </c>
      <c r="B655" s="19" t="s">
        <v>2392</v>
      </c>
      <c r="C655" s="20" t="s">
        <v>2546</v>
      </c>
      <c r="D655" s="20" t="s">
        <v>2394</v>
      </c>
      <c r="E655" s="21" t="s">
        <v>2547</v>
      </c>
      <c r="F655" s="20" t="s">
        <v>2548</v>
      </c>
      <c r="G655" s="19" t="s">
        <v>2558</v>
      </c>
      <c r="H655" s="21" t="s">
        <v>2559</v>
      </c>
      <c r="I655" s="21" t="s">
        <v>20</v>
      </c>
      <c r="J655" s="20" t="s">
        <v>2425</v>
      </c>
      <c r="K655" s="20" t="s">
        <v>2560</v>
      </c>
    </row>
    <row r="656" spans="1:11" ht="46" customHeight="1">
      <c r="A656" s="19">
        <v>652</v>
      </c>
      <c r="B656" s="19" t="s">
        <v>2392</v>
      </c>
      <c r="C656" s="20" t="s">
        <v>2546</v>
      </c>
      <c r="D656" s="20" t="s">
        <v>2394</v>
      </c>
      <c r="E656" s="21" t="s">
        <v>2547</v>
      </c>
      <c r="F656" s="20" t="s">
        <v>2548</v>
      </c>
      <c r="G656" s="19" t="s">
        <v>2561</v>
      </c>
      <c r="H656" s="21" t="s">
        <v>2562</v>
      </c>
      <c r="I656" s="21" t="s">
        <v>20</v>
      </c>
      <c r="J656" s="20" t="s">
        <v>2399</v>
      </c>
      <c r="K656" s="20" t="s">
        <v>2563</v>
      </c>
    </row>
    <row r="657" spans="1:11" ht="46" customHeight="1">
      <c r="A657" s="19">
        <v>653</v>
      </c>
      <c r="B657" s="19" t="s">
        <v>2392</v>
      </c>
      <c r="C657" s="20" t="s">
        <v>2546</v>
      </c>
      <c r="D657" s="20" t="s">
        <v>2394</v>
      </c>
      <c r="E657" s="21" t="s">
        <v>2547</v>
      </c>
      <c r="F657" s="20" t="s">
        <v>2548</v>
      </c>
      <c r="G657" s="19" t="s">
        <v>2564</v>
      </c>
      <c r="H657" s="21" t="s">
        <v>2565</v>
      </c>
      <c r="I657" s="21" t="s">
        <v>20</v>
      </c>
      <c r="J657" s="20" t="s">
        <v>2399</v>
      </c>
      <c r="K657" s="20" t="s">
        <v>2566</v>
      </c>
    </row>
    <row r="658" spans="1:11" ht="46" customHeight="1">
      <c r="A658" s="19">
        <v>654</v>
      </c>
      <c r="B658" s="19" t="s">
        <v>2392</v>
      </c>
      <c r="C658" s="20" t="s">
        <v>2567</v>
      </c>
      <c r="D658" s="20" t="s">
        <v>2394</v>
      </c>
      <c r="E658" s="21" t="s">
        <v>2568</v>
      </c>
      <c r="F658" s="20" t="s">
        <v>2569</v>
      </c>
      <c r="G658" s="19" t="s">
        <v>2570</v>
      </c>
      <c r="H658" s="21" t="s">
        <v>2571</v>
      </c>
      <c r="I658" s="21" t="s">
        <v>20</v>
      </c>
      <c r="J658" s="20" t="s">
        <v>2399</v>
      </c>
      <c r="K658" s="20" t="s">
        <v>2572</v>
      </c>
    </row>
    <row r="659" spans="1:11" ht="46" customHeight="1">
      <c r="A659" s="19">
        <v>655</v>
      </c>
      <c r="B659" s="19" t="s">
        <v>2392</v>
      </c>
      <c r="C659" s="20" t="s">
        <v>2567</v>
      </c>
      <c r="D659" s="20" t="s">
        <v>2394</v>
      </c>
      <c r="E659" s="21" t="s">
        <v>2568</v>
      </c>
      <c r="F659" s="20" t="s">
        <v>2569</v>
      </c>
      <c r="G659" s="19" t="s">
        <v>2573</v>
      </c>
      <c r="H659" s="21" t="s">
        <v>2574</v>
      </c>
      <c r="I659" s="21" t="s">
        <v>20</v>
      </c>
      <c r="J659" s="20" t="s">
        <v>2399</v>
      </c>
      <c r="K659" s="20" t="s">
        <v>2575</v>
      </c>
    </row>
    <row r="660" spans="1:11" ht="46" customHeight="1">
      <c r="A660" s="19">
        <v>656</v>
      </c>
      <c r="B660" s="19" t="s">
        <v>2392</v>
      </c>
      <c r="C660" s="20" t="s">
        <v>2567</v>
      </c>
      <c r="D660" s="20" t="s">
        <v>2394</v>
      </c>
      <c r="E660" s="21" t="s">
        <v>2568</v>
      </c>
      <c r="F660" s="20" t="s">
        <v>2569</v>
      </c>
      <c r="G660" s="19" t="s">
        <v>2576</v>
      </c>
      <c r="H660" s="21" t="s">
        <v>2577</v>
      </c>
      <c r="I660" s="21" t="s">
        <v>20</v>
      </c>
      <c r="J660" s="20" t="s">
        <v>2399</v>
      </c>
      <c r="K660" s="20" t="s">
        <v>2578</v>
      </c>
    </row>
    <row r="661" spans="1:11" ht="46" customHeight="1">
      <c r="A661" s="19">
        <v>657</v>
      </c>
      <c r="B661" s="19" t="s">
        <v>2392</v>
      </c>
      <c r="C661" s="20" t="s">
        <v>2567</v>
      </c>
      <c r="D661" s="20" t="s">
        <v>2394</v>
      </c>
      <c r="E661" s="21" t="s">
        <v>2568</v>
      </c>
      <c r="F661" s="20" t="s">
        <v>2569</v>
      </c>
      <c r="G661" s="19" t="s">
        <v>2579</v>
      </c>
      <c r="H661" s="21" t="s">
        <v>2580</v>
      </c>
      <c r="I661" s="21" t="s">
        <v>20</v>
      </c>
      <c r="J661" s="20" t="s">
        <v>2399</v>
      </c>
      <c r="K661" s="20" t="s">
        <v>2581</v>
      </c>
    </row>
    <row r="662" spans="1:11" ht="46" customHeight="1">
      <c r="A662" s="19">
        <v>658</v>
      </c>
      <c r="B662" s="19" t="s">
        <v>2392</v>
      </c>
      <c r="C662" s="20" t="s">
        <v>2567</v>
      </c>
      <c r="D662" s="20" t="s">
        <v>2394</v>
      </c>
      <c r="E662" s="21" t="s">
        <v>2568</v>
      </c>
      <c r="F662" s="20" t="s">
        <v>2569</v>
      </c>
      <c r="G662" s="19" t="s">
        <v>2582</v>
      </c>
      <c r="H662" s="21" t="s">
        <v>2583</v>
      </c>
      <c r="I662" s="21" t="s">
        <v>20</v>
      </c>
      <c r="J662" s="20" t="s">
        <v>2399</v>
      </c>
      <c r="K662" s="20" t="s">
        <v>2584</v>
      </c>
    </row>
    <row r="663" spans="1:11" ht="46" customHeight="1">
      <c r="A663" s="19">
        <v>659</v>
      </c>
      <c r="B663" s="19" t="s">
        <v>2392</v>
      </c>
      <c r="C663" s="20" t="s">
        <v>2567</v>
      </c>
      <c r="D663" s="20" t="s">
        <v>2394</v>
      </c>
      <c r="E663" s="21" t="s">
        <v>2568</v>
      </c>
      <c r="F663" s="20" t="s">
        <v>2569</v>
      </c>
      <c r="G663" s="19" t="s">
        <v>2585</v>
      </c>
      <c r="H663" s="21" t="s">
        <v>2586</v>
      </c>
      <c r="I663" s="21" t="s">
        <v>20</v>
      </c>
      <c r="J663" s="20" t="s">
        <v>2399</v>
      </c>
      <c r="K663" s="20" t="s">
        <v>2587</v>
      </c>
    </row>
    <row r="664" spans="1:11" ht="46" customHeight="1">
      <c r="A664" s="19">
        <v>660</v>
      </c>
      <c r="B664" s="19" t="s">
        <v>2392</v>
      </c>
      <c r="C664" s="20" t="s">
        <v>2588</v>
      </c>
      <c r="D664" s="20" t="s">
        <v>2394</v>
      </c>
      <c r="E664" s="21" t="s">
        <v>2589</v>
      </c>
      <c r="F664" s="20" t="s">
        <v>2590</v>
      </c>
      <c r="G664" s="19" t="s">
        <v>2591</v>
      </c>
      <c r="H664" s="21" t="s">
        <v>2592</v>
      </c>
      <c r="I664" s="21" t="s">
        <v>20</v>
      </c>
      <c r="J664" s="20" t="s">
        <v>2450</v>
      </c>
      <c r="K664" s="20" t="s">
        <v>2593</v>
      </c>
    </row>
    <row r="665" spans="1:11" ht="46" customHeight="1">
      <c r="A665" s="19">
        <v>661</v>
      </c>
      <c r="B665" s="19" t="s">
        <v>2392</v>
      </c>
      <c r="C665" s="20" t="s">
        <v>2588</v>
      </c>
      <c r="D665" s="20" t="s">
        <v>2394</v>
      </c>
      <c r="E665" s="21" t="s">
        <v>2589</v>
      </c>
      <c r="F665" s="20" t="s">
        <v>2590</v>
      </c>
      <c r="G665" s="19" t="s">
        <v>2594</v>
      </c>
      <c r="H665" s="21" t="s">
        <v>2595</v>
      </c>
      <c r="I665" s="21" t="s">
        <v>20</v>
      </c>
      <c r="J665" s="20" t="s">
        <v>2450</v>
      </c>
      <c r="K665" s="20" t="s">
        <v>2596</v>
      </c>
    </row>
    <row r="666" spans="1:11" ht="46" customHeight="1">
      <c r="A666" s="19">
        <v>662</v>
      </c>
      <c r="B666" s="19" t="s">
        <v>2392</v>
      </c>
      <c r="C666" s="20" t="s">
        <v>2588</v>
      </c>
      <c r="D666" s="20" t="s">
        <v>2394</v>
      </c>
      <c r="E666" s="21" t="s">
        <v>2589</v>
      </c>
      <c r="F666" s="20" t="s">
        <v>2590</v>
      </c>
      <c r="G666" s="19" t="s">
        <v>2597</v>
      </c>
      <c r="H666" s="21" t="s">
        <v>2598</v>
      </c>
      <c r="I666" s="21" t="s">
        <v>20</v>
      </c>
      <c r="J666" s="20" t="s">
        <v>2450</v>
      </c>
      <c r="K666" s="20" t="s">
        <v>2599</v>
      </c>
    </row>
    <row r="667" spans="1:11" ht="46" customHeight="1">
      <c r="A667" s="19">
        <v>663</v>
      </c>
      <c r="B667" s="19" t="s">
        <v>2392</v>
      </c>
      <c r="C667" s="20" t="s">
        <v>2588</v>
      </c>
      <c r="D667" s="20" t="s">
        <v>2394</v>
      </c>
      <c r="E667" s="21" t="s">
        <v>2589</v>
      </c>
      <c r="F667" s="20" t="s">
        <v>2590</v>
      </c>
      <c r="G667" s="19" t="s">
        <v>2600</v>
      </c>
      <c r="H667" s="21" t="s">
        <v>2601</v>
      </c>
      <c r="I667" s="21" t="s">
        <v>20</v>
      </c>
      <c r="J667" s="20" t="s">
        <v>2469</v>
      </c>
      <c r="K667" s="20" t="s">
        <v>2602</v>
      </c>
    </row>
    <row r="668" spans="1:11" ht="46" customHeight="1">
      <c r="A668" s="19">
        <v>664</v>
      </c>
      <c r="B668" s="19" t="s">
        <v>2392</v>
      </c>
      <c r="C668" s="20" t="s">
        <v>2588</v>
      </c>
      <c r="D668" s="20" t="s">
        <v>2394</v>
      </c>
      <c r="E668" s="21" t="s">
        <v>2589</v>
      </c>
      <c r="F668" s="20" t="s">
        <v>2590</v>
      </c>
      <c r="G668" s="19" t="s">
        <v>2603</v>
      </c>
      <c r="H668" s="21" t="s">
        <v>2604</v>
      </c>
      <c r="I668" s="21" t="s">
        <v>20</v>
      </c>
      <c r="J668" s="20" t="s">
        <v>2399</v>
      </c>
      <c r="K668" s="20" t="s">
        <v>2605</v>
      </c>
    </row>
    <row r="669" spans="1:11" ht="46" customHeight="1">
      <c r="A669" s="19">
        <v>665</v>
      </c>
      <c r="B669" s="19" t="s">
        <v>2392</v>
      </c>
      <c r="C669" s="20" t="s">
        <v>2588</v>
      </c>
      <c r="D669" s="20" t="s">
        <v>2394</v>
      </c>
      <c r="E669" s="21" t="s">
        <v>2589</v>
      </c>
      <c r="F669" s="20" t="s">
        <v>2590</v>
      </c>
      <c r="G669" s="19" t="s">
        <v>2606</v>
      </c>
      <c r="H669" s="21" t="s">
        <v>2607</v>
      </c>
      <c r="I669" s="21" t="s">
        <v>20</v>
      </c>
      <c r="J669" s="20" t="s">
        <v>2425</v>
      </c>
      <c r="K669" s="20" t="s">
        <v>2608</v>
      </c>
    </row>
    <row r="670" spans="1:11" ht="46" customHeight="1">
      <c r="A670" s="19">
        <v>666</v>
      </c>
      <c r="B670" s="19" t="s">
        <v>2392</v>
      </c>
      <c r="C670" s="20" t="s">
        <v>2609</v>
      </c>
      <c r="D670" s="20" t="s">
        <v>2394</v>
      </c>
      <c r="E670" s="21" t="s">
        <v>2610</v>
      </c>
      <c r="F670" s="20" t="s">
        <v>2611</v>
      </c>
      <c r="G670" s="19" t="s">
        <v>2612</v>
      </c>
      <c r="H670" s="21" t="s">
        <v>2613</v>
      </c>
      <c r="I670" s="21" t="s">
        <v>20</v>
      </c>
      <c r="J670" s="20" t="s">
        <v>2469</v>
      </c>
      <c r="K670" s="20" t="s">
        <v>2614</v>
      </c>
    </row>
    <row r="671" spans="1:11" ht="46" customHeight="1">
      <c r="A671" s="19">
        <v>667</v>
      </c>
      <c r="B671" s="19" t="s">
        <v>2392</v>
      </c>
      <c r="C671" s="20" t="s">
        <v>2609</v>
      </c>
      <c r="D671" s="20" t="s">
        <v>2394</v>
      </c>
      <c r="E671" s="21" t="s">
        <v>2610</v>
      </c>
      <c r="F671" s="20" t="s">
        <v>2611</v>
      </c>
      <c r="G671" s="19" t="s">
        <v>2615</v>
      </c>
      <c r="H671" s="21" t="s">
        <v>2616</v>
      </c>
      <c r="I671" s="21" t="s">
        <v>20</v>
      </c>
      <c r="J671" s="20" t="s">
        <v>2469</v>
      </c>
      <c r="K671" s="20" t="s">
        <v>2617</v>
      </c>
    </row>
    <row r="672" spans="1:11" ht="46" customHeight="1">
      <c r="A672" s="19">
        <v>668</v>
      </c>
      <c r="B672" s="19" t="s">
        <v>2392</v>
      </c>
      <c r="C672" s="20" t="s">
        <v>2609</v>
      </c>
      <c r="D672" s="20" t="s">
        <v>2394</v>
      </c>
      <c r="E672" s="21" t="s">
        <v>2610</v>
      </c>
      <c r="F672" s="20" t="s">
        <v>2611</v>
      </c>
      <c r="G672" s="19" t="s">
        <v>2618</v>
      </c>
      <c r="H672" s="21" t="s">
        <v>2619</v>
      </c>
      <c r="I672" s="21" t="s">
        <v>20</v>
      </c>
      <c r="J672" s="20" t="s">
        <v>2399</v>
      </c>
      <c r="K672" s="20" t="s">
        <v>2620</v>
      </c>
    </row>
    <row r="673" spans="1:11" ht="46" customHeight="1">
      <c r="A673" s="19">
        <v>669</v>
      </c>
      <c r="B673" s="19" t="s">
        <v>2392</v>
      </c>
      <c r="C673" s="20" t="s">
        <v>2609</v>
      </c>
      <c r="D673" s="20" t="s">
        <v>2394</v>
      </c>
      <c r="E673" s="21" t="s">
        <v>2610</v>
      </c>
      <c r="F673" s="20" t="s">
        <v>2611</v>
      </c>
      <c r="G673" s="19" t="s">
        <v>2621</v>
      </c>
      <c r="H673" s="21" t="s">
        <v>2622</v>
      </c>
      <c r="I673" s="21" t="s">
        <v>20</v>
      </c>
      <c r="J673" s="20" t="s">
        <v>2399</v>
      </c>
      <c r="K673" s="20" t="s">
        <v>2623</v>
      </c>
    </row>
    <row r="674" spans="1:11" ht="46" customHeight="1">
      <c r="A674" s="19">
        <v>670</v>
      </c>
      <c r="B674" s="19" t="s">
        <v>2392</v>
      </c>
      <c r="C674" s="20" t="s">
        <v>2609</v>
      </c>
      <c r="D674" s="20" t="s">
        <v>2394</v>
      </c>
      <c r="E674" s="21" t="s">
        <v>2610</v>
      </c>
      <c r="F674" s="20" t="s">
        <v>2611</v>
      </c>
      <c r="G674" s="19" t="s">
        <v>2624</v>
      </c>
      <c r="H674" s="21" t="s">
        <v>2625</v>
      </c>
      <c r="I674" s="21" t="s">
        <v>20</v>
      </c>
      <c r="J674" s="20" t="s">
        <v>2406</v>
      </c>
      <c r="K674" s="20" t="s">
        <v>2626</v>
      </c>
    </row>
    <row r="675" spans="1:11" ht="46" customHeight="1">
      <c r="A675" s="19">
        <v>671</v>
      </c>
      <c r="B675" s="19" t="s">
        <v>2392</v>
      </c>
      <c r="C675" s="20" t="s">
        <v>2609</v>
      </c>
      <c r="D675" s="20" t="s">
        <v>2394</v>
      </c>
      <c r="E675" s="21" t="s">
        <v>2610</v>
      </c>
      <c r="F675" s="20" t="s">
        <v>2611</v>
      </c>
      <c r="G675" s="19" t="s">
        <v>2627</v>
      </c>
      <c r="H675" s="21" t="s">
        <v>2628</v>
      </c>
      <c r="I675" s="21" t="s">
        <v>20</v>
      </c>
      <c r="J675" s="20" t="s">
        <v>2469</v>
      </c>
      <c r="K675" s="20" t="s">
        <v>2629</v>
      </c>
    </row>
    <row r="676" spans="1:11" ht="46" customHeight="1">
      <c r="A676" s="19">
        <v>672</v>
      </c>
      <c r="B676" s="19" t="s">
        <v>2392</v>
      </c>
      <c r="C676" s="20" t="s">
        <v>2630</v>
      </c>
      <c r="D676" s="20" t="s">
        <v>2394</v>
      </c>
      <c r="E676" s="21" t="s">
        <v>2631</v>
      </c>
      <c r="F676" s="20" t="s">
        <v>2632</v>
      </c>
      <c r="G676" s="19" t="s">
        <v>2633</v>
      </c>
      <c r="H676" s="21" t="s">
        <v>2634</v>
      </c>
      <c r="I676" s="21" t="s">
        <v>20</v>
      </c>
      <c r="J676" s="20" t="s">
        <v>2399</v>
      </c>
      <c r="K676" s="20" t="s">
        <v>2635</v>
      </c>
    </row>
    <row r="677" spans="1:11" ht="46" customHeight="1">
      <c r="A677" s="19">
        <v>673</v>
      </c>
      <c r="B677" s="19" t="s">
        <v>2392</v>
      </c>
      <c r="C677" s="20" t="s">
        <v>2630</v>
      </c>
      <c r="D677" s="20" t="s">
        <v>2394</v>
      </c>
      <c r="E677" s="21" t="s">
        <v>2631</v>
      </c>
      <c r="F677" s="20" t="s">
        <v>2632</v>
      </c>
      <c r="G677" s="19" t="s">
        <v>2636</v>
      </c>
      <c r="H677" s="21" t="s">
        <v>2637</v>
      </c>
      <c r="I677" s="21" t="s">
        <v>20</v>
      </c>
      <c r="J677" s="20" t="s">
        <v>2406</v>
      </c>
      <c r="K677" s="20" t="s">
        <v>2638</v>
      </c>
    </row>
    <row r="678" spans="1:11" ht="46" customHeight="1">
      <c r="A678" s="19">
        <v>674</v>
      </c>
      <c r="B678" s="19" t="s">
        <v>2392</v>
      </c>
      <c r="C678" s="20" t="s">
        <v>2630</v>
      </c>
      <c r="D678" s="20" t="s">
        <v>2394</v>
      </c>
      <c r="E678" s="21" t="s">
        <v>2631</v>
      </c>
      <c r="F678" s="20" t="s">
        <v>2632</v>
      </c>
      <c r="G678" s="19" t="s">
        <v>2639</v>
      </c>
      <c r="H678" s="21" t="s">
        <v>2640</v>
      </c>
      <c r="I678" s="21" t="s">
        <v>20</v>
      </c>
      <c r="J678" s="20" t="s">
        <v>2399</v>
      </c>
      <c r="K678" s="20" t="s">
        <v>2641</v>
      </c>
    </row>
    <row r="679" spans="1:11" ht="46" customHeight="1">
      <c r="A679" s="19">
        <v>675</v>
      </c>
      <c r="B679" s="19" t="s">
        <v>2392</v>
      </c>
      <c r="C679" s="20" t="s">
        <v>2630</v>
      </c>
      <c r="D679" s="20" t="s">
        <v>2394</v>
      </c>
      <c r="E679" s="21" t="s">
        <v>2631</v>
      </c>
      <c r="F679" s="20" t="s">
        <v>2632</v>
      </c>
      <c r="G679" s="19" t="s">
        <v>2642</v>
      </c>
      <c r="H679" s="21" t="s">
        <v>2643</v>
      </c>
      <c r="I679" s="21" t="s">
        <v>20</v>
      </c>
      <c r="J679" s="20" t="s">
        <v>2406</v>
      </c>
      <c r="K679" s="20" t="s">
        <v>2644</v>
      </c>
    </row>
    <row r="680" spans="1:11" ht="46" customHeight="1">
      <c r="A680" s="19">
        <v>676</v>
      </c>
      <c r="B680" s="19" t="s">
        <v>2392</v>
      </c>
      <c r="C680" s="20" t="s">
        <v>2630</v>
      </c>
      <c r="D680" s="20" t="s">
        <v>2394</v>
      </c>
      <c r="E680" s="21" t="s">
        <v>2631</v>
      </c>
      <c r="F680" s="20" t="s">
        <v>2632</v>
      </c>
      <c r="G680" s="19" t="s">
        <v>2645</v>
      </c>
      <c r="H680" s="21" t="s">
        <v>2646</v>
      </c>
      <c r="I680" s="21" t="s">
        <v>20</v>
      </c>
      <c r="J680" s="20" t="s">
        <v>2406</v>
      </c>
      <c r="K680" s="20" t="s">
        <v>2647</v>
      </c>
    </row>
    <row r="681" spans="1:11" ht="46" customHeight="1">
      <c r="A681" s="19">
        <v>677</v>
      </c>
      <c r="B681" s="19" t="s">
        <v>2392</v>
      </c>
      <c r="C681" s="20" t="s">
        <v>2630</v>
      </c>
      <c r="D681" s="20" t="s">
        <v>2394</v>
      </c>
      <c r="E681" s="21" t="s">
        <v>2631</v>
      </c>
      <c r="F681" s="20" t="s">
        <v>2632</v>
      </c>
      <c r="G681" s="19" t="s">
        <v>2648</v>
      </c>
      <c r="H681" s="21" t="s">
        <v>2649</v>
      </c>
      <c r="I681" s="21" t="s">
        <v>20</v>
      </c>
      <c r="J681" s="20" t="s">
        <v>2406</v>
      </c>
      <c r="K681" s="20" t="s">
        <v>2650</v>
      </c>
    </row>
    <row r="682" spans="1:11" ht="46" customHeight="1">
      <c r="A682" s="19">
        <v>678</v>
      </c>
      <c r="B682" s="19" t="s">
        <v>2392</v>
      </c>
      <c r="C682" s="20" t="s">
        <v>2651</v>
      </c>
      <c r="D682" s="20" t="s">
        <v>2394</v>
      </c>
      <c r="E682" s="21" t="s">
        <v>2652</v>
      </c>
      <c r="F682" s="20" t="s">
        <v>2653</v>
      </c>
      <c r="G682" s="19" t="s">
        <v>2654</v>
      </c>
      <c r="H682" s="21" t="s">
        <v>2655</v>
      </c>
      <c r="I682" s="21" t="s">
        <v>20</v>
      </c>
      <c r="J682" s="20" t="s">
        <v>2469</v>
      </c>
      <c r="K682" s="20" t="s">
        <v>2656</v>
      </c>
    </row>
    <row r="683" spans="1:11" ht="46" customHeight="1">
      <c r="A683" s="19">
        <v>679</v>
      </c>
      <c r="B683" s="19" t="s">
        <v>2392</v>
      </c>
      <c r="C683" s="20" t="s">
        <v>2651</v>
      </c>
      <c r="D683" s="20" t="s">
        <v>2394</v>
      </c>
      <c r="E683" s="21" t="s">
        <v>2652</v>
      </c>
      <c r="F683" s="20" t="s">
        <v>2653</v>
      </c>
      <c r="G683" s="19" t="s">
        <v>2657</v>
      </c>
      <c r="H683" s="21" t="s">
        <v>2658</v>
      </c>
      <c r="I683" s="21" t="s">
        <v>20</v>
      </c>
      <c r="J683" s="20" t="s">
        <v>2406</v>
      </c>
      <c r="K683" s="20" t="s">
        <v>2659</v>
      </c>
    </row>
    <row r="684" spans="1:11" ht="46" customHeight="1">
      <c r="A684" s="19">
        <v>680</v>
      </c>
      <c r="B684" s="19" t="s">
        <v>2392</v>
      </c>
      <c r="C684" s="20" t="s">
        <v>2651</v>
      </c>
      <c r="D684" s="20" t="s">
        <v>2394</v>
      </c>
      <c r="E684" s="21" t="s">
        <v>2652</v>
      </c>
      <c r="F684" s="20" t="s">
        <v>2653</v>
      </c>
      <c r="G684" s="19" t="s">
        <v>2660</v>
      </c>
      <c r="H684" s="21" t="s">
        <v>2661</v>
      </c>
      <c r="I684" s="21" t="s">
        <v>20</v>
      </c>
      <c r="J684" s="20" t="s">
        <v>2399</v>
      </c>
      <c r="K684" s="20" t="s">
        <v>2662</v>
      </c>
    </row>
    <row r="685" spans="1:11" ht="46" customHeight="1">
      <c r="A685" s="19">
        <v>681</v>
      </c>
      <c r="B685" s="19" t="s">
        <v>2392</v>
      </c>
      <c r="C685" s="20" t="s">
        <v>2651</v>
      </c>
      <c r="D685" s="20" t="s">
        <v>2394</v>
      </c>
      <c r="E685" s="21" t="s">
        <v>2652</v>
      </c>
      <c r="F685" s="20" t="s">
        <v>2653</v>
      </c>
      <c r="G685" s="19" t="s">
        <v>2663</v>
      </c>
      <c r="H685" s="21" t="s">
        <v>2664</v>
      </c>
      <c r="I685" s="21" t="s">
        <v>20</v>
      </c>
      <c r="J685" s="20" t="s">
        <v>2399</v>
      </c>
      <c r="K685" s="20" t="s">
        <v>2665</v>
      </c>
    </row>
    <row r="686" spans="1:11" ht="46" customHeight="1">
      <c r="A686" s="19">
        <v>682</v>
      </c>
      <c r="B686" s="19" t="s">
        <v>2392</v>
      </c>
      <c r="C686" s="20" t="s">
        <v>2651</v>
      </c>
      <c r="D686" s="20" t="s">
        <v>2394</v>
      </c>
      <c r="E686" s="21" t="s">
        <v>2652</v>
      </c>
      <c r="F686" s="20" t="s">
        <v>2653</v>
      </c>
      <c r="G686" s="19" t="s">
        <v>2666</v>
      </c>
      <c r="H686" s="21" t="s">
        <v>2667</v>
      </c>
      <c r="I686" s="21" t="s">
        <v>20</v>
      </c>
      <c r="J686" s="20" t="s">
        <v>2399</v>
      </c>
      <c r="K686" s="20" t="s">
        <v>2668</v>
      </c>
    </row>
    <row r="687" spans="1:11" ht="46" customHeight="1">
      <c r="A687" s="19">
        <v>683</v>
      </c>
      <c r="B687" s="19" t="s">
        <v>2392</v>
      </c>
      <c r="C687" s="20" t="s">
        <v>2651</v>
      </c>
      <c r="D687" s="20" t="s">
        <v>2394</v>
      </c>
      <c r="E687" s="21" t="s">
        <v>2652</v>
      </c>
      <c r="F687" s="20" t="s">
        <v>2653</v>
      </c>
      <c r="G687" s="19" t="s">
        <v>2669</v>
      </c>
      <c r="H687" s="21" t="s">
        <v>2670</v>
      </c>
      <c r="I687" s="21" t="s">
        <v>20</v>
      </c>
      <c r="J687" s="20" t="s">
        <v>2399</v>
      </c>
      <c r="K687" s="20" t="s">
        <v>2671</v>
      </c>
    </row>
    <row r="688" spans="1:11" ht="46" customHeight="1">
      <c r="A688" s="19">
        <v>684</v>
      </c>
      <c r="B688" s="19" t="s">
        <v>2392</v>
      </c>
      <c r="C688" s="20" t="s">
        <v>2672</v>
      </c>
      <c r="D688" s="20" t="s">
        <v>2394</v>
      </c>
      <c r="E688" s="21" t="s">
        <v>2673</v>
      </c>
      <c r="F688" s="20" t="s">
        <v>2674</v>
      </c>
      <c r="G688" s="19" t="s">
        <v>2675</v>
      </c>
      <c r="H688" s="21" t="s">
        <v>2676</v>
      </c>
      <c r="I688" s="21" t="s">
        <v>20</v>
      </c>
      <c r="J688" s="20" t="s">
        <v>2425</v>
      </c>
      <c r="K688" s="20" t="s">
        <v>2677</v>
      </c>
    </row>
    <row r="689" spans="1:11" ht="46" customHeight="1">
      <c r="A689" s="19">
        <v>685</v>
      </c>
      <c r="B689" s="19" t="s">
        <v>2392</v>
      </c>
      <c r="C689" s="20" t="s">
        <v>2672</v>
      </c>
      <c r="D689" s="20" t="s">
        <v>2394</v>
      </c>
      <c r="E689" s="21" t="s">
        <v>2673</v>
      </c>
      <c r="F689" s="20" t="s">
        <v>2674</v>
      </c>
      <c r="G689" s="19" t="s">
        <v>2678</v>
      </c>
      <c r="H689" s="21" t="s">
        <v>2679</v>
      </c>
      <c r="I689" s="21" t="s">
        <v>20</v>
      </c>
      <c r="J689" s="20" t="s">
        <v>2425</v>
      </c>
      <c r="K689" s="20" t="s">
        <v>2680</v>
      </c>
    </row>
    <row r="690" spans="1:11" ht="46" customHeight="1">
      <c r="A690" s="19">
        <v>686</v>
      </c>
      <c r="B690" s="19" t="s">
        <v>2392</v>
      </c>
      <c r="C690" s="20" t="s">
        <v>2672</v>
      </c>
      <c r="D690" s="20" t="s">
        <v>2394</v>
      </c>
      <c r="E690" s="21" t="s">
        <v>2673</v>
      </c>
      <c r="F690" s="20" t="s">
        <v>2674</v>
      </c>
      <c r="G690" s="19" t="s">
        <v>2681</v>
      </c>
      <c r="H690" s="21" t="s">
        <v>2682</v>
      </c>
      <c r="I690" s="21" t="s">
        <v>20</v>
      </c>
      <c r="J690" s="20" t="s">
        <v>2425</v>
      </c>
      <c r="K690" s="20" t="s">
        <v>2683</v>
      </c>
    </row>
    <row r="691" spans="1:11" ht="46" customHeight="1">
      <c r="A691" s="19">
        <v>687</v>
      </c>
      <c r="B691" s="19" t="s">
        <v>2392</v>
      </c>
      <c r="C691" s="20" t="s">
        <v>2672</v>
      </c>
      <c r="D691" s="20" t="s">
        <v>2394</v>
      </c>
      <c r="E691" s="21" t="s">
        <v>2673</v>
      </c>
      <c r="F691" s="20" t="s">
        <v>2674</v>
      </c>
      <c r="G691" s="19" t="s">
        <v>2684</v>
      </c>
      <c r="H691" s="21" t="s">
        <v>2685</v>
      </c>
      <c r="I691" s="21" t="s">
        <v>20</v>
      </c>
      <c r="J691" s="20" t="s">
        <v>2399</v>
      </c>
      <c r="K691" s="20" t="s">
        <v>2686</v>
      </c>
    </row>
    <row r="692" spans="1:11" ht="46" customHeight="1">
      <c r="A692" s="19">
        <v>688</v>
      </c>
      <c r="B692" s="19" t="s">
        <v>2392</v>
      </c>
      <c r="C692" s="20" t="s">
        <v>2672</v>
      </c>
      <c r="D692" s="20" t="s">
        <v>2394</v>
      </c>
      <c r="E692" s="21" t="s">
        <v>2673</v>
      </c>
      <c r="F692" s="20" t="s">
        <v>2674</v>
      </c>
      <c r="G692" s="19" t="s">
        <v>2687</v>
      </c>
      <c r="H692" s="21" t="s">
        <v>2688</v>
      </c>
      <c r="I692" s="21" t="s">
        <v>20</v>
      </c>
      <c r="J692" s="20" t="s">
        <v>2399</v>
      </c>
      <c r="K692" s="20" t="s">
        <v>2689</v>
      </c>
    </row>
    <row r="693" spans="1:11" ht="46" customHeight="1">
      <c r="A693" s="19">
        <v>689</v>
      </c>
      <c r="B693" s="19" t="s">
        <v>2392</v>
      </c>
      <c r="C693" s="20" t="s">
        <v>2672</v>
      </c>
      <c r="D693" s="20" t="s">
        <v>2394</v>
      </c>
      <c r="E693" s="21" t="s">
        <v>2673</v>
      </c>
      <c r="F693" s="20" t="s">
        <v>2674</v>
      </c>
      <c r="G693" s="19" t="s">
        <v>2690</v>
      </c>
      <c r="H693" s="21" t="s">
        <v>2691</v>
      </c>
      <c r="I693" s="21" t="s">
        <v>20</v>
      </c>
      <c r="J693" s="20" t="s">
        <v>2399</v>
      </c>
      <c r="K693" s="20" t="s">
        <v>2692</v>
      </c>
    </row>
    <row r="694" spans="1:11" ht="46" customHeight="1">
      <c r="A694" s="19">
        <v>690</v>
      </c>
      <c r="B694" s="19" t="s">
        <v>2392</v>
      </c>
      <c r="C694" s="20" t="s">
        <v>2693</v>
      </c>
      <c r="D694" s="20" t="s">
        <v>2394</v>
      </c>
      <c r="E694" s="21" t="s">
        <v>2694</v>
      </c>
      <c r="F694" s="20" t="s">
        <v>2695</v>
      </c>
      <c r="G694" s="19" t="s">
        <v>2696</v>
      </c>
      <c r="H694" s="21" t="s">
        <v>2697</v>
      </c>
      <c r="I694" s="21" t="s">
        <v>20</v>
      </c>
      <c r="J694" s="20" t="s">
        <v>2406</v>
      </c>
      <c r="K694" s="20" t="s">
        <v>2698</v>
      </c>
    </row>
    <row r="695" spans="1:11" ht="46" customHeight="1">
      <c r="A695" s="19">
        <v>691</v>
      </c>
      <c r="B695" s="19" t="s">
        <v>2392</v>
      </c>
      <c r="C695" s="20" t="s">
        <v>2693</v>
      </c>
      <c r="D695" s="20" t="s">
        <v>2394</v>
      </c>
      <c r="E695" s="21" t="s">
        <v>2694</v>
      </c>
      <c r="F695" s="20" t="s">
        <v>2695</v>
      </c>
      <c r="G695" s="19" t="s">
        <v>2699</v>
      </c>
      <c r="H695" s="21" t="s">
        <v>2700</v>
      </c>
      <c r="I695" s="21" t="s">
        <v>20</v>
      </c>
      <c r="J695" s="20" t="s">
        <v>2399</v>
      </c>
      <c r="K695" s="20" t="s">
        <v>2701</v>
      </c>
    </row>
    <row r="696" spans="1:11" ht="46" customHeight="1">
      <c r="A696" s="19">
        <v>692</v>
      </c>
      <c r="B696" s="19" t="s">
        <v>2392</v>
      </c>
      <c r="C696" s="20" t="s">
        <v>2693</v>
      </c>
      <c r="D696" s="20" t="s">
        <v>2394</v>
      </c>
      <c r="E696" s="21" t="s">
        <v>2694</v>
      </c>
      <c r="F696" s="20" t="s">
        <v>2695</v>
      </c>
      <c r="G696" s="19" t="s">
        <v>2702</v>
      </c>
      <c r="H696" s="21" t="s">
        <v>2703</v>
      </c>
      <c r="I696" s="21" t="s">
        <v>20</v>
      </c>
      <c r="J696" s="20" t="s">
        <v>2399</v>
      </c>
      <c r="K696" s="20" t="s">
        <v>2704</v>
      </c>
    </row>
    <row r="697" spans="1:11" ht="46" customHeight="1">
      <c r="A697" s="19">
        <v>693</v>
      </c>
      <c r="B697" s="19" t="s">
        <v>2392</v>
      </c>
      <c r="C697" s="20" t="s">
        <v>2693</v>
      </c>
      <c r="D697" s="20" t="s">
        <v>2394</v>
      </c>
      <c r="E697" s="21" t="s">
        <v>2694</v>
      </c>
      <c r="F697" s="20" t="s">
        <v>2695</v>
      </c>
      <c r="G697" s="19" t="s">
        <v>2705</v>
      </c>
      <c r="H697" s="21" t="s">
        <v>2706</v>
      </c>
      <c r="I697" s="21" t="s">
        <v>20</v>
      </c>
      <c r="J697" s="20" t="s">
        <v>2399</v>
      </c>
      <c r="K697" s="20" t="s">
        <v>2707</v>
      </c>
    </row>
    <row r="698" spans="1:11" ht="46" customHeight="1">
      <c r="A698" s="19">
        <v>694</v>
      </c>
      <c r="B698" s="19" t="s">
        <v>2392</v>
      </c>
      <c r="C698" s="20" t="s">
        <v>2693</v>
      </c>
      <c r="D698" s="20" t="s">
        <v>2394</v>
      </c>
      <c r="E698" s="21" t="s">
        <v>2694</v>
      </c>
      <c r="F698" s="20" t="s">
        <v>2695</v>
      </c>
      <c r="G698" s="19" t="s">
        <v>2708</v>
      </c>
      <c r="H698" s="21" t="s">
        <v>2709</v>
      </c>
      <c r="I698" s="21" t="s">
        <v>20</v>
      </c>
      <c r="J698" s="20" t="s">
        <v>2399</v>
      </c>
      <c r="K698" s="20" t="s">
        <v>2710</v>
      </c>
    </row>
    <row r="699" spans="1:11" ht="46" customHeight="1">
      <c r="A699" s="19">
        <v>695</v>
      </c>
      <c r="B699" s="19" t="s">
        <v>2392</v>
      </c>
      <c r="C699" s="20" t="s">
        <v>2693</v>
      </c>
      <c r="D699" s="20" t="s">
        <v>2394</v>
      </c>
      <c r="E699" s="21" t="s">
        <v>2694</v>
      </c>
      <c r="F699" s="20" t="s">
        <v>2695</v>
      </c>
      <c r="G699" s="19" t="s">
        <v>2711</v>
      </c>
      <c r="H699" s="21" t="s">
        <v>2712</v>
      </c>
      <c r="I699" s="21" t="s">
        <v>20</v>
      </c>
      <c r="J699" s="20" t="s">
        <v>2713</v>
      </c>
      <c r="K699" s="20" t="s">
        <v>2714</v>
      </c>
    </row>
    <row r="700" spans="1:11" ht="46" customHeight="1">
      <c r="A700" s="19">
        <v>696</v>
      </c>
      <c r="B700" s="19" t="s">
        <v>2392</v>
      </c>
      <c r="C700" s="20" t="s">
        <v>2715</v>
      </c>
      <c r="D700" s="20" t="s">
        <v>2394</v>
      </c>
      <c r="E700" s="21" t="s">
        <v>2716</v>
      </c>
      <c r="F700" s="20" t="s">
        <v>2717</v>
      </c>
      <c r="G700" s="19" t="s">
        <v>2718</v>
      </c>
      <c r="H700" s="21" t="s">
        <v>2719</v>
      </c>
      <c r="I700" s="21" t="s">
        <v>20</v>
      </c>
      <c r="J700" s="20" t="s">
        <v>2406</v>
      </c>
      <c r="K700" s="20" t="s">
        <v>2720</v>
      </c>
    </row>
    <row r="701" spans="1:11" ht="46" customHeight="1">
      <c r="A701" s="19">
        <v>697</v>
      </c>
      <c r="B701" s="19" t="s">
        <v>2392</v>
      </c>
      <c r="C701" s="20" t="s">
        <v>2715</v>
      </c>
      <c r="D701" s="20" t="s">
        <v>2394</v>
      </c>
      <c r="E701" s="21" t="s">
        <v>2716</v>
      </c>
      <c r="F701" s="20" t="s">
        <v>2717</v>
      </c>
      <c r="G701" s="19" t="s">
        <v>2721</v>
      </c>
      <c r="H701" s="21" t="s">
        <v>2722</v>
      </c>
      <c r="I701" s="21" t="s">
        <v>20</v>
      </c>
      <c r="J701" s="20" t="s">
        <v>2399</v>
      </c>
      <c r="K701" s="20" t="s">
        <v>2723</v>
      </c>
    </row>
    <row r="702" spans="1:11" ht="46" customHeight="1">
      <c r="A702" s="19">
        <v>698</v>
      </c>
      <c r="B702" s="19" t="s">
        <v>2392</v>
      </c>
      <c r="C702" s="20" t="s">
        <v>2715</v>
      </c>
      <c r="D702" s="20" t="s">
        <v>2394</v>
      </c>
      <c r="E702" s="21" t="s">
        <v>2716</v>
      </c>
      <c r="F702" s="20" t="s">
        <v>2717</v>
      </c>
      <c r="G702" s="19" t="s">
        <v>2724</v>
      </c>
      <c r="H702" s="21" t="s">
        <v>2725</v>
      </c>
      <c r="I702" s="21" t="s">
        <v>20</v>
      </c>
      <c r="J702" s="20" t="s">
        <v>2399</v>
      </c>
      <c r="K702" s="20" t="s">
        <v>2726</v>
      </c>
    </row>
    <row r="703" spans="1:11" ht="46" customHeight="1">
      <c r="A703" s="19">
        <v>699</v>
      </c>
      <c r="B703" s="19" t="s">
        <v>2392</v>
      </c>
      <c r="C703" s="20" t="s">
        <v>2715</v>
      </c>
      <c r="D703" s="20" t="s">
        <v>2394</v>
      </c>
      <c r="E703" s="21" t="s">
        <v>2716</v>
      </c>
      <c r="F703" s="20" t="s">
        <v>2717</v>
      </c>
      <c r="G703" s="19" t="s">
        <v>2727</v>
      </c>
      <c r="H703" s="21" t="s">
        <v>2728</v>
      </c>
      <c r="I703" s="21" t="s">
        <v>20</v>
      </c>
      <c r="J703" s="20" t="s">
        <v>2399</v>
      </c>
      <c r="K703" s="20" t="s">
        <v>2729</v>
      </c>
    </row>
    <row r="704" spans="1:11" ht="46" customHeight="1">
      <c r="A704" s="19">
        <v>700</v>
      </c>
      <c r="B704" s="19" t="s">
        <v>2392</v>
      </c>
      <c r="C704" s="20" t="s">
        <v>2715</v>
      </c>
      <c r="D704" s="20" t="s">
        <v>2394</v>
      </c>
      <c r="E704" s="21" t="s">
        <v>2716</v>
      </c>
      <c r="F704" s="20" t="s">
        <v>2717</v>
      </c>
      <c r="G704" s="19" t="s">
        <v>2730</v>
      </c>
      <c r="H704" s="21" t="s">
        <v>2731</v>
      </c>
      <c r="I704" s="21" t="s">
        <v>20</v>
      </c>
      <c r="J704" s="20" t="s">
        <v>2406</v>
      </c>
      <c r="K704" s="20" t="s">
        <v>2732</v>
      </c>
    </row>
    <row r="705" spans="1:11" ht="46" customHeight="1">
      <c r="A705" s="19">
        <v>701</v>
      </c>
      <c r="B705" s="19" t="s">
        <v>2392</v>
      </c>
      <c r="C705" s="20" t="s">
        <v>2715</v>
      </c>
      <c r="D705" s="20" t="s">
        <v>2394</v>
      </c>
      <c r="E705" s="21" t="s">
        <v>2716</v>
      </c>
      <c r="F705" s="20" t="s">
        <v>2717</v>
      </c>
      <c r="G705" s="19" t="s">
        <v>2733</v>
      </c>
      <c r="H705" s="21" t="s">
        <v>2734</v>
      </c>
      <c r="I705" s="21" t="s">
        <v>20</v>
      </c>
      <c r="J705" s="20" t="s">
        <v>2399</v>
      </c>
      <c r="K705" s="20" t="s">
        <v>2735</v>
      </c>
    </row>
    <row r="706" spans="1:11" ht="46" customHeight="1">
      <c r="A706" s="19">
        <v>702</v>
      </c>
      <c r="B706" s="19" t="s">
        <v>2392</v>
      </c>
      <c r="C706" s="20" t="s">
        <v>2736</v>
      </c>
      <c r="D706" s="20" t="s">
        <v>2394</v>
      </c>
      <c r="E706" s="21" t="s">
        <v>2737</v>
      </c>
      <c r="F706" s="20" t="s">
        <v>2738</v>
      </c>
      <c r="G706" s="19" t="s">
        <v>2739</v>
      </c>
      <c r="H706" s="21" t="s">
        <v>2740</v>
      </c>
      <c r="I706" s="21" t="s">
        <v>20</v>
      </c>
      <c r="J706" s="20" t="s">
        <v>2399</v>
      </c>
      <c r="K706" s="20" t="s">
        <v>2741</v>
      </c>
    </row>
    <row r="707" spans="1:11" ht="46" customHeight="1">
      <c r="A707" s="19">
        <v>703</v>
      </c>
      <c r="B707" s="19" t="s">
        <v>2392</v>
      </c>
      <c r="C707" s="20" t="s">
        <v>2736</v>
      </c>
      <c r="D707" s="20" t="s">
        <v>2394</v>
      </c>
      <c r="E707" s="21" t="s">
        <v>2737</v>
      </c>
      <c r="F707" s="20" t="s">
        <v>2738</v>
      </c>
      <c r="G707" s="19" t="s">
        <v>2742</v>
      </c>
      <c r="H707" s="21" t="s">
        <v>2743</v>
      </c>
      <c r="I707" s="21" t="s">
        <v>20</v>
      </c>
      <c r="J707" s="20" t="s">
        <v>2406</v>
      </c>
      <c r="K707" s="20" t="s">
        <v>2744</v>
      </c>
    </row>
    <row r="708" spans="1:11" ht="46" customHeight="1">
      <c r="A708" s="19">
        <v>704</v>
      </c>
      <c r="B708" s="19" t="s">
        <v>2392</v>
      </c>
      <c r="C708" s="20" t="s">
        <v>2736</v>
      </c>
      <c r="D708" s="20" t="s">
        <v>2394</v>
      </c>
      <c r="E708" s="21" t="s">
        <v>2737</v>
      </c>
      <c r="F708" s="20" t="s">
        <v>2738</v>
      </c>
      <c r="G708" s="19" t="s">
        <v>2745</v>
      </c>
      <c r="H708" s="21" t="s">
        <v>2746</v>
      </c>
      <c r="I708" s="21" t="s">
        <v>20</v>
      </c>
      <c r="J708" s="20" t="s">
        <v>2399</v>
      </c>
      <c r="K708" s="20" t="s">
        <v>2747</v>
      </c>
    </row>
    <row r="709" spans="1:11" ht="46" customHeight="1">
      <c r="A709" s="19">
        <v>705</v>
      </c>
      <c r="B709" s="19" t="s">
        <v>2392</v>
      </c>
      <c r="C709" s="20" t="s">
        <v>2736</v>
      </c>
      <c r="D709" s="20" t="s">
        <v>2394</v>
      </c>
      <c r="E709" s="21" t="s">
        <v>2737</v>
      </c>
      <c r="F709" s="20" t="s">
        <v>2738</v>
      </c>
      <c r="G709" s="19" t="s">
        <v>2748</v>
      </c>
      <c r="H709" s="21" t="s">
        <v>2749</v>
      </c>
      <c r="I709" s="21" t="s">
        <v>20</v>
      </c>
      <c r="J709" s="20" t="s">
        <v>2399</v>
      </c>
      <c r="K709" s="20" t="s">
        <v>2750</v>
      </c>
    </row>
    <row r="710" spans="1:11" ht="46" customHeight="1">
      <c r="A710" s="19">
        <v>706</v>
      </c>
      <c r="B710" s="19" t="s">
        <v>2392</v>
      </c>
      <c r="C710" s="20" t="s">
        <v>2736</v>
      </c>
      <c r="D710" s="20" t="s">
        <v>2394</v>
      </c>
      <c r="E710" s="21" t="s">
        <v>2737</v>
      </c>
      <c r="F710" s="20" t="s">
        <v>2738</v>
      </c>
      <c r="G710" s="19" t="s">
        <v>2751</v>
      </c>
      <c r="H710" s="21" t="s">
        <v>2752</v>
      </c>
      <c r="I710" s="21" t="s">
        <v>20</v>
      </c>
      <c r="J710" s="20" t="s">
        <v>2399</v>
      </c>
      <c r="K710" s="20" t="s">
        <v>2753</v>
      </c>
    </row>
    <row r="711" spans="1:11" ht="46" customHeight="1">
      <c r="A711" s="19">
        <v>707</v>
      </c>
      <c r="B711" s="19" t="s">
        <v>2392</v>
      </c>
      <c r="C711" s="20" t="s">
        <v>2736</v>
      </c>
      <c r="D711" s="20" t="s">
        <v>2394</v>
      </c>
      <c r="E711" s="21" t="s">
        <v>2737</v>
      </c>
      <c r="F711" s="20" t="s">
        <v>2738</v>
      </c>
      <c r="G711" s="19" t="s">
        <v>2754</v>
      </c>
      <c r="H711" s="21" t="s">
        <v>2755</v>
      </c>
      <c r="I711" s="21" t="s">
        <v>20</v>
      </c>
      <c r="J711" s="20" t="s">
        <v>2399</v>
      </c>
      <c r="K711" s="20" t="s">
        <v>2756</v>
      </c>
    </row>
    <row r="712" spans="1:11" ht="46" customHeight="1">
      <c r="A712" s="19">
        <v>708</v>
      </c>
      <c r="B712" s="19" t="s">
        <v>2392</v>
      </c>
      <c r="C712" s="20" t="s">
        <v>2757</v>
      </c>
      <c r="D712" s="20" t="s">
        <v>2394</v>
      </c>
      <c r="E712" s="21" t="s">
        <v>2758</v>
      </c>
      <c r="F712" s="20" t="s">
        <v>2759</v>
      </c>
      <c r="G712" s="19" t="s">
        <v>2760</v>
      </c>
      <c r="H712" s="21" t="s">
        <v>2761</v>
      </c>
      <c r="I712" s="21" t="s">
        <v>20</v>
      </c>
      <c r="J712" s="20" t="s">
        <v>2399</v>
      </c>
      <c r="K712" s="20" t="s">
        <v>2762</v>
      </c>
    </row>
    <row r="713" spans="1:11" ht="46" customHeight="1">
      <c r="A713" s="19">
        <v>709</v>
      </c>
      <c r="B713" s="19" t="s">
        <v>2392</v>
      </c>
      <c r="C713" s="20" t="s">
        <v>2757</v>
      </c>
      <c r="D713" s="20" t="s">
        <v>2394</v>
      </c>
      <c r="E713" s="21" t="s">
        <v>2758</v>
      </c>
      <c r="F713" s="20" t="s">
        <v>2759</v>
      </c>
      <c r="G713" s="19" t="s">
        <v>2763</v>
      </c>
      <c r="H713" s="21" t="s">
        <v>2764</v>
      </c>
      <c r="I713" s="21" t="s">
        <v>20</v>
      </c>
      <c r="J713" s="20" t="s">
        <v>2399</v>
      </c>
      <c r="K713" s="20" t="s">
        <v>2765</v>
      </c>
    </row>
    <row r="714" spans="1:11" ht="46" customHeight="1">
      <c r="A714" s="19">
        <v>710</v>
      </c>
      <c r="B714" s="19" t="s">
        <v>2392</v>
      </c>
      <c r="C714" s="20" t="s">
        <v>2757</v>
      </c>
      <c r="D714" s="20" t="s">
        <v>2394</v>
      </c>
      <c r="E714" s="21" t="s">
        <v>2758</v>
      </c>
      <c r="F714" s="20" t="s">
        <v>2759</v>
      </c>
      <c r="G714" s="19" t="s">
        <v>2766</v>
      </c>
      <c r="H714" s="21" t="s">
        <v>2767</v>
      </c>
      <c r="I714" s="21" t="s">
        <v>20</v>
      </c>
      <c r="J714" s="20" t="s">
        <v>2399</v>
      </c>
      <c r="K714" s="20" t="s">
        <v>2768</v>
      </c>
    </row>
    <row r="715" spans="1:11" ht="46" customHeight="1">
      <c r="A715" s="19">
        <v>711</v>
      </c>
      <c r="B715" s="19" t="s">
        <v>2392</v>
      </c>
      <c r="C715" s="20" t="s">
        <v>2757</v>
      </c>
      <c r="D715" s="20" t="s">
        <v>2394</v>
      </c>
      <c r="E715" s="21" t="s">
        <v>2758</v>
      </c>
      <c r="F715" s="20" t="s">
        <v>2759</v>
      </c>
      <c r="G715" s="19" t="s">
        <v>2769</v>
      </c>
      <c r="H715" s="21" t="s">
        <v>2770</v>
      </c>
      <c r="I715" s="21" t="s">
        <v>20</v>
      </c>
      <c r="J715" s="20" t="s">
        <v>2399</v>
      </c>
      <c r="K715" s="20" t="s">
        <v>2771</v>
      </c>
    </row>
    <row r="716" spans="1:11" ht="46" customHeight="1">
      <c r="A716" s="19">
        <v>712</v>
      </c>
      <c r="B716" s="19" t="s">
        <v>2392</v>
      </c>
      <c r="C716" s="20" t="s">
        <v>2757</v>
      </c>
      <c r="D716" s="20" t="s">
        <v>2394</v>
      </c>
      <c r="E716" s="21" t="s">
        <v>2758</v>
      </c>
      <c r="F716" s="20" t="s">
        <v>2759</v>
      </c>
      <c r="G716" s="19" t="s">
        <v>2772</v>
      </c>
      <c r="H716" s="21" t="s">
        <v>2773</v>
      </c>
      <c r="I716" s="21" t="s">
        <v>20</v>
      </c>
      <c r="J716" s="20" t="s">
        <v>2399</v>
      </c>
      <c r="K716" s="20" t="s">
        <v>2774</v>
      </c>
    </row>
    <row r="717" spans="1:11" ht="46" customHeight="1">
      <c r="A717" s="19">
        <v>713</v>
      </c>
      <c r="B717" s="19" t="s">
        <v>2392</v>
      </c>
      <c r="C717" s="20" t="s">
        <v>2757</v>
      </c>
      <c r="D717" s="20" t="s">
        <v>2394</v>
      </c>
      <c r="E717" s="21" t="s">
        <v>2758</v>
      </c>
      <c r="F717" s="20" t="s">
        <v>2759</v>
      </c>
      <c r="G717" s="19" t="s">
        <v>2775</v>
      </c>
      <c r="H717" s="21" t="s">
        <v>2776</v>
      </c>
      <c r="I717" s="21" t="s">
        <v>20</v>
      </c>
      <c r="J717" s="20" t="s">
        <v>2399</v>
      </c>
      <c r="K717" s="20" t="s">
        <v>2777</v>
      </c>
    </row>
    <row r="718" spans="1:11" ht="46" customHeight="1">
      <c r="A718" s="19">
        <v>714</v>
      </c>
      <c r="B718" s="19" t="s">
        <v>2392</v>
      </c>
      <c r="C718" s="20" t="s">
        <v>2778</v>
      </c>
      <c r="D718" s="20" t="s">
        <v>2394</v>
      </c>
      <c r="E718" s="21" t="s">
        <v>2779</v>
      </c>
      <c r="F718" s="20" t="s">
        <v>2780</v>
      </c>
      <c r="G718" s="19" t="s">
        <v>2781</v>
      </c>
      <c r="H718" s="21" t="s">
        <v>2782</v>
      </c>
      <c r="I718" s="21" t="s">
        <v>20</v>
      </c>
      <c r="J718" s="20" t="s">
        <v>2399</v>
      </c>
      <c r="K718" s="20" t="s">
        <v>2783</v>
      </c>
    </row>
    <row r="719" spans="1:11" ht="46" customHeight="1">
      <c r="A719" s="19">
        <v>715</v>
      </c>
      <c r="B719" s="19" t="s">
        <v>2392</v>
      </c>
      <c r="C719" s="20" t="s">
        <v>2778</v>
      </c>
      <c r="D719" s="20" t="s">
        <v>2394</v>
      </c>
      <c r="E719" s="21" t="s">
        <v>2779</v>
      </c>
      <c r="F719" s="20" t="s">
        <v>2780</v>
      </c>
      <c r="G719" s="19" t="s">
        <v>2784</v>
      </c>
      <c r="H719" s="21" t="s">
        <v>2785</v>
      </c>
      <c r="I719" s="21" t="s">
        <v>20</v>
      </c>
      <c r="J719" s="20" t="s">
        <v>2469</v>
      </c>
      <c r="K719" s="20" t="s">
        <v>2786</v>
      </c>
    </row>
    <row r="720" spans="1:11" ht="46" customHeight="1">
      <c r="A720" s="19">
        <v>716</v>
      </c>
      <c r="B720" s="19" t="s">
        <v>2392</v>
      </c>
      <c r="C720" s="20" t="s">
        <v>2778</v>
      </c>
      <c r="D720" s="20" t="s">
        <v>2394</v>
      </c>
      <c r="E720" s="21" t="s">
        <v>2779</v>
      </c>
      <c r="F720" s="20" t="s">
        <v>2780</v>
      </c>
      <c r="G720" s="19" t="s">
        <v>2787</v>
      </c>
      <c r="H720" s="21" t="s">
        <v>2788</v>
      </c>
      <c r="I720" s="21" t="s">
        <v>20</v>
      </c>
      <c r="J720" s="20" t="s">
        <v>2399</v>
      </c>
      <c r="K720" s="20" t="s">
        <v>2789</v>
      </c>
    </row>
    <row r="721" spans="1:11" ht="46" customHeight="1">
      <c r="A721" s="19">
        <v>717</v>
      </c>
      <c r="B721" s="19" t="s">
        <v>2392</v>
      </c>
      <c r="C721" s="20" t="s">
        <v>2778</v>
      </c>
      <c r="D721" s="20" t="s">
        <v>2394</v>
      </c>
      <c r="E721" s="21" t="s">
        <v>2779</v>
      </c>
      <c r="F721" s="20" t="s">
        <v>2780</v>
      </c>
      <c r="G721" s="19" t="s">
        <v>2790</v>
      </c>
      <c r="H721" s="21" t="s">
        <v>2791</v>
      </c>
      <c r="I721" s="21" t="s">
        <v>20</v>
      </c>
      <c r="J721" s="20" t="s">
        <v>2399</v>
      </c>
      <c r="K721" s="20" t="s">
        <v>2792</v>
      </c>
    </row>
    <row r="722" spans="1:11" ht="46" customHeight="1">
      <c r="A722" s="19">
        <v>718</v>
      </c>
      <c r="B722" s="19" t="s">
        <v>2392</v>
      </c>
      <c r="C722" s="20" t="s">
        <v>2778</v>
      </c>
      <c r="D722" s="20" t="s">
        <v>2394</v>
      </c>
      <c r="E722" s="21" t="s">
        <v>2779</v>
      </c>
      <c r="F722" s="20" t="s">
        <v>2780</v>
      </c>
      <c r="G722" s="19" t="s">
        <v>2793</v>
      </c>
      <c r="H722" s="21" t="s">
        <v>2794</v>
      </c>
      <c r="I722" s="21" t="s">
        <v>20</v>
      </c>
      <c r="J722" s="20" t="s">
        <v>2399</v>
      </c>
      <c r="K722" s="20" t="s">
        <v>2795</v>
      </c>
    </row>
    <row r="723" spans="1:11" ht="46" customHeight="1">
      <c r="A723" s="19">
        <v>719</v>
      </c>
      <c r="B723" s="19" t="s">
        <v>2392</v>
      </c>
      <c r="C723" s="20" t="s">
        <v>2778</v>
      </c>
      <c r="D723" s="20" t="s">
        <v>2394</v>
      </c>
      <c r="E723" s="21" t="s">
        <v>2779</v>
      </c>
      <c r="F723" s="20" t="s">
        <v>2780</v>
      </c>
      <c r="G723" s="19" t="s">
        <v>2796</v>
      </c>
      <c r="H723" s="21" t="s">
        <v>2797</v>
      </c>
      <c r="I723" s="21" t="s">
        <v>20</v>
      </c>
      <c r="J723" s="20" t="s">
        <v>2399</v>
      </c>
      <c r="K723" s="20" t="s">
        <v>2798</v>
      </c>
    </row>
    <row r="724" spans="1:11" ht="46" customHeight="1">
      <c r="A724" s="19">
        <v>720</v>
      </c>
      <c r="B724" s="19" t="s">
        <v>2392</v>
      </c>
      <c r="C724" s="20" t="s">
        <v>2799</v>
      </c>
      <c r="D724" s="20" t="s">
        <v>2394</v>
      </c>
      <c r="E724" s="21" t="s">
        <v>2800</v>
      </c>
      <c r="F724" s="20" t="s">
        <v>2801</v>
      </c>
      <c r="G724" s="19" t="s">
        <v>2802</v>
      </c>
      <c r="H724" s="21" t="s">
        <v>2803</v>
      </c>
      <c r="I724" s="21" t="s">
        <v>20</v>
      </c>
      <c r="J724" s="20" t="s">
        <v>2469</v>
      </c>
      <c r="K724" s="20" t="s">
        <v>2804</v>
      </c>
    </row>
    <row r="725" spans="1:11" ht="46" customHeight="1">
      <c r="A725" s="19">
        <v>721</v>
      </c>
      <c r="B725" s="19" t="s">
        <v>2392</v>
      </c>
      <c r="C725" s="20" t="s">
        <v>2799</v>
      </c>
      <c r="D725" s="20" t="s">
        <v>2394</v>
      </c>
      <c r="E725" s="21" t="s">
        <v>2800</v>
      </c>
      <c r="F725" s="20" t="s">
        <v>2801</v>
      </c>
      <c r="G725" s="19" t="s">
        <v>2805</v>
      </c>
      <c r="H725" s="21" t="s">
        <v>2806</v>
      </c>
      <c r="I725" s="21" t="s">
        <v>20</v>
      </c>
      <c r="J725" s="20" t="s">
        <v>2469</v>
      </c>
      <c r="K725" s="20" t="s">
        <v>2807</v>
      </c>
    </row>
    <row r="726" spans="1:11" ht="46" customHeight="1">
      <c r="A726" s="19">
        <v>722</v>
      </c>
      <c r="B726" s="19" t="s">
        <v>2392</v>
      </c>
      <c r="C726" s="20" t="s">
        <v>2799</v>
      </c>
      <c r="D726" s="20" t="s">
        <v>2394</v>
      </c>
      <c r="E726" s="21" t="s">
        <v>2800</v>
      </c>
      <c r="F726" s="20" t="s">
        <v>2801</v>
      </c>
      <c r="G726" s="19" t="s">
        <v>2808</v>
      </c>
      <c r="H726" s="21" t="s">
        <v>2809</v>
      </c>
      <c r="I726" s="21" t="s">
        <v>20</v>
      </c>
      <c r="J726" s="20" t="s">
        <v>2469</v>
      </c>
      <c r="K726" s="20" t="s">
        <v>2810</v>
      </c>
    </row>
    <row r="727" spans="1:11" ht="46" customHeight="1">
      <c r="A727" s="19">
        <v>723</v>
      </c>
      <c r="B727" s="19" t="s">
        <v>2392</v>
      </c>
      <c r="C727" s="20" t="s">
        <v>2799</v>
      </c>
      <c r="D727" s="20" t="s">
        <v>2394</v>
      </c>
      <c r="E727" s="21" t="s">
        <v>2800</v>
      </c>
      <c r="F727" s="20" t="s">
        <v>2801</v>
      </c>
      <c r="G727" s="19" t="s">
        <v>2811</v>
      </c>
      <c r="H727" s="21" t="s">
        <v>2812</v>
      </c>
      <c r="I727" s="21" t="s">
        <v>20</v>
      </c>
      <c r="J727" s="20" t="s">
        <v>2469</v>
      </c>
      <c r="K727" s="20" t="s">
        <v>2813</v>
      </c>
    </row>
    <row r="728" spans="1:11" ht="46" customHeight="1">
      <c r="A728" s="19">
        <v>724</v>
      </c>
      <c r="B728" s="19" t="s">
        <v>2392</v>
      </c>
      <c r="C728" s="20" t="s">
        <v>2799</v>
      </c>
      <c r="D728" s="20" t="s">
        <v>2394</v>
      </c>
      <c r="E728" s="21" t="s">
        <v>2800</v>
      </c>
      <c r="F728" s="20" t="s">
        <v>2801</v>
      </c>
      <c r="G728" s="19" t="s">
        <v>2814</v>
      </c>
      <c r="H728" s="21" t="s">
        <v>2815</v>
      </c>
      <c r="I728" s="21" t="s">
        <v>20</v>
      </c>
      <c r="J728" s="20" t="s">
        <v>2469</v>
      </c>
      <c r="K728" s="20" t="s">
        <v>2816</v>
      </c>
    </row>
    <row r="729" spans="1:11" ht="46" customHeight="1">
      <c r="A729" s="19">
        <v>725</v>
      </c>
      <c r="B729" s="19" t="s">
        <v>2392</v>
      </c>
      <c r="C729" s="20" t="s">
        <v>2799</v>
      </c>
      <c r="D729" s="20" t="s">
        <v>2394</v>
      </c>
      <c r="E729" s="21" t="s">
        <v>2800</v>
      </c>
      <c r="F729" s="20" t="s">
        <v>2801</v>
      </c>
      <c r="G729" s="19" t="s">
        <v>2817</v>
      </c>
      <c r="H729" s="21" t="s">
        <v>2818</v>
      </c>
      <c r="I729" s="21" t="s">
        <v>20</v>
      </c>
      <c r="J729" s="20" t="s">
        <v>2399</v>
      </c>
      <c r="K729" s="20" t="s">
        <v>2819</v>
      </c>
    </row>
    <row r="730" spans="1:11" ht="46" customHeight="1">
      <c r="A730" s="19">
        <v>726</v>
      </c>
      <c r="B730" s="19" t="s">
        <v>2392</v>
      </c>
      <c r="C730" s="20" t="s">
        <v>2820</v>
      </c>
      <c r="D730" s="20" t="s">
        <v>2394</v>
      </c>
      <c r="E730" s="21" t="s">
        <v>2821</v>
      </c>
      <c r="F730" s="20" t="s">
        <v>2822</v>
      </c>
      <c r="G730" s="19" t="s">
        <v>2823</v>
      </c>
      <c r="H730" s="21" t="s">
        <v>2824</v>
      </c>
      <c r="I730" s="21" t="s">
        <v>20</v>
      </c>
      <c r="J730" s="20" t="s">
        <v>2399</v>
      </c>
      <c r="K730" s="20" t="s">
        <v>2825</v>
      </c>
    </row>
    <row r="731" spans="1:11" ht="46" customHeight="1">
      <c r="A731" s="19">
        <v>727</v>
      </c>
      <c r="B731" s="19" t="s">
        <v>2392</v>
      </c>
      <c r="C731" s="20" t="s">
        <v>2820</v>
      </c>
      <c r="D731" s="20" t="s">
        <v>2394</v>
      </c>
      <c r="E731" s="21" t="s">
        <v>2821</v>
      </c>
      <c r="F731" s="20" t="s">
        <v>2822</v>
      </c>
      <c r="G731" s="19" t="s">
        <v>2826</v>
      </c>
      <c r="H731" s="21" t="s">
        <v>2827</v>
      </c>
      <c r="I731" s="21" t="s">
        <v>20</v>
      </c>
      <c r="J731" s="20" t="s">
        <v>2469</v>
      </c>
      <c r="K731" s="20" t="s">
        <v>2828</v>
      </c>
    </row>
    <row r="732" spans="1:11" ht="46" customHeight="1">
      <c r="A732" s="19">
        <v>728</v>
      </c>
      <c r="B732" s="19" t="s">
        <v>2392</v>
      </c>
      <c r="C732" s="20" t="s">
        <v>2820</v>
      </c>
      <c r="D732" s="20" t="s">
        <v>2394</v>
      </c>
      <c r="E732" s="21" t="s">
        <v>2821</v>
      </c>
      <c r="F732" s="20" t="s">
        <v>2822</v>
      </c>
      <c r="G732" s="19" t="s">
        <v>2829</v>
      </c>
      <c r="H732" s="21" t="s">
        <v>2830</v>
      </c>
      <c r="I732" s="21" t="s">
        <v>20</v>
      </c>
      <c r="J732" s="20" t="s">
        <v>2399</v>
      </c>
      <c r="K732" s="20" t="s">
        <v>2831</v>
      </c>
    </row>
    <row r="733" spans="1:11" ht="46" customHeight="1">
      <c r="A733" s="19">
        <v>729</v>
      </c>
      <c r="B733" s="19" t="s">
        <v>2392</v>
      </c>
      <c r="C733" s="20" t="s">
        <v>2820</v>
      </c>
      <c r="D733" s="20" t="s">
        <v>2394</v>
      </c>
      <c r="E733" s="21" t="s">
        <v>2821</v>
      </c>
      <c r="F733" s="20" t="s">
        <v>2822</v>
      </c>
      <c r="G733" s="19" t="s">
        <v>2832</v>
      </c>
      <c r="H733" s="21" t="s">
        <v>2833</v>
      </c>
      <c r="I733" s="21" t="s">
        <v>20</v>
      </c>
      <c r="J733" s="20" t="s">
        <v>2399</v>
      </c>
      <c r="K733" s="20" t="s">
        <v>2834</v>
      </c>
    </row>
    <row r="734" spans="1:11" ht="46" customHeight="1">
      <c r="A734" s="19">
        <v>730</v>
      </c>
      <c r="B734" s="19" t="s">
        <v>2392</v>
      </c>
      <c r="C734" s="20" t="s">
        <v>2820</v>
      </c>
      <c r="D734" s="20" t="s">
        <v>2394</v>
      </c>
      <c r="E734" s="21" t="s">
        <v>2821</v>
      </c>
      <c r="F734" s="20" t="s">
        <v>2822</v>
      </c>
      <c r="G734" s="19" t="s">
        <v>2835</v>
      </c>
      <c r="H734" s="21" t="s">
        <v>2836</v>
      </c>
      <c r="I734" s="21" t="s">
        <v>20</v>
      </c>
      <c r="J734" s="20" t="s">
        <v>2399</v>
      </c>
      <c r="K734" s="20" t="s">
        <v>2837</v>
      </c>
    </row>
    <row r="735" spans="1:11" ht="46" customHeight="1">
      <c r="A735" s="19">
        <v>731</v>
      </c>
      <c r="B735" s="19" t="s">
        <v>2392</v>
      </c>
      <c r="C735" s="20" t="s">
        <v>2820</v>
      </c>
      <c r="D735" s="20" t="s">
        <v>2394</v>
      </c>
      <c r="E735" s="21" t="s">
        <v>2821</v>
      </c>
      <c r="F735" s="20" t="s">
        <v>2822</v>
      </c>
      <c r="G735" s="19" t="s">
        <v>2838</v>
      </c>
      <c r="H735" s="21" t="s">
        <v>2839</v>
      </c>
      <c r="I735" s="21" t="s">
        <v>20</v>
      </c>
      <c r="J735" s="20" t="s">
        <v>2399</v>
      </c>
      <c r="K735" s="20" t="s">
        <v>2840</v>
      </c>
    </row>
    <row r="736" spans="1:11" ht="46" customHeight="1">
      <c r="A736" s="19">
        <v>732</v>
      </c>
      <c r="B736" s="19" t="s">
        <v>2392</v>
      </c>
      <c r="C736" s="20" t="s">
        <v>2841</v>
      </c>
      <c r="D736" s="20" t="s">
        <v>2394</v>
      </c>
      <c r="E736" s="21" t="s">
        <v>2842</v>
      </c>
      <c r="F736" s="20" t="s">
        <v>2843</v>
      </c>
      <c r="G736" s="19" t="s">
        <v>2844</v>
      </c>
      <c r="H736" s="21" t="s">
        <v>2845</v>
      </c>
      <c r="I736" s="21" t="s">
        <v>20</v>
      </c>
      <c r="J736" s="20" t="s">
        <v>2399</v>
      </c>
      <c r="K736" s="20" t="s">
        <v>2846</v>
      </c>
    </row>
    <row r="737" spans="1:11" ht="46" customHeight="1">
      <c r="A737" s="19">
        <v>733</v>
      </c>
      <c r="B737" s="19" t="s">
        <v>2392</v>
      </c>
      <c r="C737" s="20" t="s">
        <v>2841</v>
      </c>
      <c r="D737" s="20" t="s">
        <v>2394</v>
      </c>
      <c r="E737" s="21" t="s">
        <v>2842</v>
      </c>
      <c r="F737" s="20" t="s">
        <v>2843</v>
      </c>
      <c r="G737" s="19" t="s">
        <v>2847</v>
      </c>
      <c r="H737" s="21" t="s">
        <v>2848</v>
      </c>
      <c r="I737" s="21" t="s">
        <v>20</v>
      </c>
      <c r="J737" s="20" t="s">
        <v>2425</v>
      </c>
      <c r="K737" s="20" t="s">
        <v>2849</v>
      </c>
    </row>
    <row r="738" spans="1:11" ht="46" customHeight="1">
      <c r="A738" s="19">
        <v>734</v>
      </c>
      <c r="B738" s="19" t="s">
        <v>2392</v>
      </c>
      <c r="C738" s="20" t="s">
        <v>2841</v>
      </c>
      <c r="D738" s="20" t="s">
        <v>2394</v>
      </c>
      <c r="E738" s="21" t="s">
        <v>2842</v>
      </c>
      <c r="F738" s="20" t="s">
        <v>2843</v>
      </c>
      <c r="G738" s="19" t="s">
        <v>2850</v>
      </c>
      <c r="H738" s="21" t="s">
        <v>2851</v>
      </c>
      <c r="I738" s="21" t="s">
        <v>20</v>
      </c>
      <c r="J738" s="20" t="s">
        <v>2425</v>
      </c>
      <c r="K738" s="20" t="s">
        <v>2852</v>
      </c>
    </row>
    <row r="739" spans="1:11" ht="46" customHeight="1">
      <c r="A739" s="19">
        <v>735</v>
      </c>
      <c r="B739" s="19" t="s">
        <v>2392</v>
      </c>
      <c r="C739" s="20" t="s">
        <v>2841</v>
      </c>
      <c r="D739" s="20" t="s">
        <v>2394</v>
      </c>
      <c r="E739" s="21" t="s">
        <v>2842</v>
      </c>
      <c r="F739" s="20" t="s">
        <v>2843</v>
      </c>
      <c r="G739" s="19" t="s">
        <v>2853</v>
      </c>
      <c r="H739" s="21" t="s">
        <v>2854</v>
      </c>
      <c r="I739" s="21" t="s">
        <v>20</v>
      </c>
      <c r="J739" s="20" t="s">
        <v>2425</v>
      </c>
      <c r="K739" s="20" t="s">
        <v>2855</v>
      </c>
    </row>
    <row r="740" spans="1:11" ht="46" customHeight="1">
      <c r="A740" s="19">
        <v>736</v>
      </c>
      <c r="B740" s="19" t="s">
        <v>2392</v>
      </c>
      <c r="C740" s="20" t="s">
        <v>2841</v>
      </c>
      <c r="D740" s="20" t="s">
        <v>2394</v>
      </c>
      <c r="E740" s="21" t="s">
        <v>2842</v>
      </c>
      <c r="F740" s="20" t="s">
        <v>2843</v>
      </c>
      <c r="G740" s="19" t="s">
        <v>2856</v>
      </c>
      <c r="H740" s="21" t="s">
        <v>2857</v>
      </c>
      <c r="I740" s="21" t="s">
        <v>20</v>
      </c>
      <c r="J740" s="20" t="s">
        <v>2425</v>
      </c>
      <c r="K740" s="20" t="s">
        <v>2858</v>
      </c>
    </row>
    <row r="741" spans="1:11" ht="46" customHeight="1">
      <c r="A741" s="19">
        <v>737</v>
      </c>
      <c r="B741" s="19" t="s">
        <v>2392</v>
      </c>
      <c r="C741" s="20" t="s">
        <v>2841</v>
      </c>
      <c r="D741" s="20" t="s">
        <v>2394</v>
      </c>
      <c r="E741" s="21" t="s">
        <v>2842</v>
      </c>
      <c r="F741" s="20" t="s">
        <v>2843</v>
      </c>
      <c r="G741" s="19" t="s">
        <v>2859</v>
      </c>
      <c r="H741" s="21" t="s">
        <v>2860</v>
      </c>
      <c r="I741" s="21" t="s">
        <v>20</v>
      </c>
      <c r="J741" s="20" t="s">
        <v>2425</v>
      </c>
      <c r="K741" s="20" t="s">
        <v>2861</v>
      </c>
    </row>
    <row r="742" spans="1:11" ht="46" customHeight="1">
      <c r="A742" s="19">
        <v>738</v>
      </c>
      <c r="B742" s="19" t="s">
        <v>2392</v>
      </c>
      <c r="C742" s="20" t="s">
        <v>2862</v>
      </c>
      <c r="D742" s="20" t="s">
        <v>2394</v>
      </c>
      <c r="E742" s="21" t="s">
        <v>2863</v>
      </c>
      <c r="F742" s="20" t="s">
        <v>2864</v>
      </c>
      <c r="G742" s="19" t="s">
        <v>2865</v>
      </c>
      <c r="H742" s="21" t="s">
        <v>2866</v>
      </c>
      <c r="I742" s="21" t="s">
        <v>20</v>
      </c>
      <c r="J742" s="20" t="s">
        <v>2425</v>
      </c>
      <c r="K742" s="20" t="s">
        <v>2867</v>
      </c>
    </row>
    <row r="743" spans="1:11" ht="46" customHeight="1">
      <c r="A743" s="19">
        <v>739</v>
      </c>
      <c r="B743" s="19" t="s">
        <v>2392</v>
      </c>
      <c r="C743" s="20" t="s">
        <v>2862</v>
      </c>
      <c r="D743" s="20" t="s">
        <v>2394</v>
      </c>
      <c r="E743" s="21" t="s">
        <v>2863</v>
      </c>
      <c r="F743" s="20" t="s">
        <v>2864</v>
      </c>
      <c r="G743" s="19" t="s">
        <v>2868</v>
      </c>
      <c r="H743" s="21" t="s">
        <v>2869</v>
      </c>
      <c r="I743" s="21" t="s">
        <v>20</v>
      </c>
      <c r="J743" s="20" t="s">
        <v>2425</v>
      </c>
      <c r="K743" s="20" t="s">
        <v>2870</v>
      </c>
    </row>
    <row r="744" spans="1:11" ht="46" customHeight="1">
      <c r="A744" s="19">
        <v>740</v>
      </c>
      <c r="B744" s="19" t="s">
        <v>2392</v>
      </c>
      <c r="C744" s="20" t="s">
        <v>2862</v>
      </c>
      <c r="D744" s="20" t="s">
        <v>2394</v>
      </c>
      <c r="E744" s="21" t="s">
        <v>2863</v>
      </c>
      <c r="F744" s="20" t="s">
        <v>2864</v>
      </c>
      <c r="G744" s="19" t="s">
        <v>2871</v>
      </c>
      <c r="H744" s="21" t="s">
        <v>2872</v>
      </c>
      <c r="I744" s="21" t="s">
        <v>20</v>
      </c>
      <c r="J744" s="20" t="s">
        <v>2469</v>
      </c>
      <c r="K744" s="20" t="s">
        <v>2873</v>
      </c>
    </row>
    <row r="745" spans="1:11" ht="46" customHeight="1">
      <c r="A745" s="19">
        <v>741</v>
      </c>
      <c r="B745" s="19" t="s">
        <v>2392</v>
      </c>
      <c r="C745" s="20" t="s">
        <v>2862</v>
      </c>
      <c r="D745" s="20" t="s">
        <v>2394</v>
      </c>
      <c r="E745" s="21" t="s">
        <v>2863</v>
      </c>
      <c r="F745" s="20" t="s">
        <v>2864</v>
      </c>
      <c r="G745" s="19" t="s">
        <v>2874</v>
      </c>
      <c r="H745" s="21" t="s">
        <v>2875</v>
      </c>
      <c r="I745" s="21" t="s">
        <v>20</v>
      </c>
      <c r="J745" s="20" t="s">
        <v>2399</v>
      </c>
      <c r="K745" s="20" t="s">
        <v>2876</v>
      </c>
    </row>
    <row r="746" spans="1:11" ht="46" customHeight="1">
      <c r="A746" s="19">
        <v>742</v>
      </c>
      <c r="B746" s="19" t="s">
        <v>2392</v>
      </c>
      <c r="C746" s="20" t="s">
        <v>2862</v>
      </c>
      <c r="D746" s="20" t="s">
        <v>2394</v>
      </c>
      <c r="E746" s="21" t="s">
        <v>2863</v>
      </c>
      <c r="F746" s="20" t="s">
        <v>2864</v>
      </c>
      <c r="G746" s="19" t="s">
        <v>2877</v>
      </c>
      <c r="H746" s="21" t="s">
        <v>2878</v>
      </c>
      <c r="I746" s="21" t="s">
        <v>20</v>
      </c>
      <c r="J746" s="20" t="s">
        <v>2399</v>
      </c>
      <c r="K746" s="20" t="s">
        <v>2879</v>
      </c>
    </row>
    <row r="747" spans="1:11" ht="46" customHeight="1">
      <c r="A747" s="19">
        <v>743</v>
      </c>
      <c r="B747" s="19" t="s">
        <v>2392</v>
      </c>
      <c r="C747" s="20" t="s">
        <v>2862</v>
      </c>
      <c r="D747" s="20" t="s">
        <v>2394</v>
      </c>
      <c r="E747" s="21" t="s">
        <v>2863</v>
      </c>
      <c r="F747" s="20" t="s">
        <v>2864</v>
      </c>
      <c r="G747" s="19" t="s">
        <v>2880</v>
      </c>
      <c r="H747" s="21" t="s">
        <v>2881</v>
      </c>
      <c r="I747" s="21" t="s">
        <v>20</v>
      </c>
      <c r="J747" s="20" t="s">
        <v>2399</v>
      </c>
      <c r="K747" s="20" t="s">
        <v>2882</v>
      </c>
    </row>
    <row r="748" spans="1:11" ht="46" customHeight="1">
      <c r="A748" s="19">
        <v>744</v>
      </c>
      <c r="B748" s="19" t="s">
        <v>2392</v>
      </c>
      <c r="C748" s="20" t="s">
        <v>2883</v>
      </c>
      <c r="D748" s="20" t="s">
        <v>2394</v>
      </c>
      <c r="E748" s="21" t="s">
        <v>2884</v>
      </c>
      <c r="F748" s="20" t="s">
        <v>2885</v>
      </c>
      <c r="G748" s="19" t="s">
        <v>2886</v>
      </c>
      <c r="H748" s="21" t="s">
        <v>2887</v>
      </c>
      <c r="I748" s="21" t="s">
        <v>20</v>
      </c>
      <c r="J748" s="20" t="s">
        <v>2425</v>
      </c>
      <c r="K748" s="20" t="s">
        <v>2888</v>
      </c>
    </row>
    <row r="749" spans="1:11" ht="46" customHeight="1">
      <c r="A749" s="19">
        <v>745</v>
      </c>
      <c r="B749" s="19" t="s">
        <v>2392</v>
      </c>
      <c r="C749" s="20" t="s">
        <v>2883</v>
      </c>
      <c r="D749" s="20" t="s">
        <v>2394</v>
      </c>
      <c r="E749" s="21" t="s">
        <v>2884</v>
      </c>
      <c r="F749" s="20" t="s">
        <v>2885</v>
      </c>
      <c r="G749" s="19" t="s">
        <v>2889</v>
      </c>
      <c r="H749" s="21" t="s">
        <v>2890</v>
      </c>
      <c r="I749" s="21" t="s">
        <v>20</v>
      </c>
      <c r="J749" s="20" t="s">
        <v>2399</v>
      </c>
      <c r="K749" s="20" t="s">
        <v>2891</v>
      </c>
    </row>
    <row r="750" spans="1:11" ht="46" customHeight="1">
      <c r="A750" s="19">
        <v>746</v>
      </c>
      <c r="B750" s="19" t="s">
        <v>2392</v>
      </c>
      <c r="C750" s="20" t="s">
        <v>2883</v>
      </c>
      <c r="D750" s="20" t="s">
        <v>2394</v>
      </c>
      <c r="E750" s="21" t="s">
        <v>2884</v>
      </c>
      <c r="F750" s="20" t="s">
        <v>2885</v>
      </c>
      <c r="G750" s="19" t="s">
        <v>2892</v>
      </c>
      <c r="H750" s="21" t="s">
        <v>2893</v>
      </c>
      <c r="I750" s="21" t="s">
        <v>20</v>
      </c>
      <c r="J750" s="20" t="s">
        <v>2469</v>
      </c>
      <c r="K750" s="20" t="s">
        <v>2894</v>
      </c>
    </row>
    <row r="751" spans="1:11" ht="46" customHeight="1">
      <c r="A751" s="19">
        <v>747</v>
      </c>
      <c r="B751" s="19" t="s">
        <v>2392</v>
      </c>
      <c r="C751" s="20" t="s">
        <v>2883</v>
      </c>
      <c r="D751" s="20" t="s">
        <v>2394</v>
      </c>
      <c r="E751" s="21" t="s">
        <v>2884</v>
      </c>
      <c r="F751" s="20" t="s">
        <v>2885</v>
      </c>
      <c r="G751" s="19" t="s">
        <v>2895</v>
      </c>
      <c r="H751" s="21" t="s">
        <v>2896</v>
      </c>
      <c r="I751" s="21" t="s">
        <v>20</v>
      </c>
      <c r="J751" s="20" t="s">
        <v>2399</v>
      </c>
      <c r="K751" s="20" t="s">
        <v>2897</v>
      </c>
    </row>
    <row r="752" spans="1:11" ht="46" customHeight="1">
      <c r="A752" s="19">
        <v>748</v>
      </c>
      <c r="B752" s="19" t="s">
        <v>2392</v>
      </c>
      <c r="C752" s="20" t="s">
        <v>2883</v>
      </c>
      <c r="D752" s="20" t="s">
        <v>2394</v>
      </c>
      <c r="E752" s="21" t="s">
        <v>2884</v>
      </c>
      <c r="F752" s="20" t="s">
        <v>2885</v>
      </c>
      <c r="G752" s="19" t="s">
        <v>2898</v>
      </c>
      <c r="H752" s="21" t="s">
        <v>2899</v>
      </c>
      <c r="I752" s="21" t="s">
        <v>20</v>
      </c>
      <c r="J752" s="20" t="s">
        <v>2399</v>
      </c>
      <c r="K752" s="20" t="s">
        <v>2900</v>
      </c>
    </row>
    <row r="753" spans="1:11" ht="46" customHeight="1">
      <c r="A753" s="19">
        <v>749</v>
      </c>
      <c r="B753" s="19" t="s">
        <v>2392</v>
      </c>
      <c r="C753" s="20" t="s">
        <v>2883</v>
      </c>
      <c r="D753" s="20" t="s">
        <v>2394</v>
      </c>
      <c r="E753" s="21" t="s">
        <v>2884</v>
      </c>
      <c r="F753" s="20" t="s">
        <v>2885</v>
      </c>
      <c r="G753" s="19" t="s">
        <v>2901</v>
      </c>
      <c r="H753" s="21" t="s">
        <v>2902</v>
      </c>
      <c r="I753" s="21" t="s">
        <v>20</v>
      </c>
      <c r="J753" s="20" t="s">
        <v>2406</v>
      </c>
      <c r="K753" s="20" t="s">
        <v>2903</v>
      </c>
    </row>
    <row r="754" spans="1:11" ht="46" customHeight="1">
      <c r="A754" s="19">
        <v>750</v>
      </c>
      <c r="B754" s="19" t="s">
        <v>2392</v>
      </c>
      <c r="C754" s="20" t="s">
        <v>2904</v>
      </c>
      <c r="D754" s="20" t="s">
        <v>2394</v>
      </c>
      <c r="E754" s="21" t="s">
        <v>2905</v>
      </c>
      <c r="F754" s="20" t="s">
        <v>2906</v>
      </c>
      <c r="G754" s="19" t="s">
        <v>2907</v>
      </c>
      <c r="H754" s="21" t="s">
        <v>2908</v>
      </c>
      <c r="I754" s="21" t="s">
        <v>20</v>
      </c>
      <c r="J754" s="20" t="s">
        <v>2425</v>
      </c>
      <c r="K754" s="20" t="s">
        <v>2909</v>
      </c>
    </row>
    <row r="755" spans="1:11" ht="46" customHeight="1">
      <c r="A755" s="19">
        <v>751</v>
      </c>
      <c r="B755" s="19" t="s">
        <v>2392</v>
      </c>
      <c r="C755" s="20" t="s">
        <v>2904</v>
      </c>
      <c r="D755" s="20" t="s">
        <v>2394</v>
      </c>
      <c r="E755" s="21" t="s">
        <v>2905</v>
      </c>
      <c r="F755" s="20" t="s">
        <v>2906</v>
      </c>
      <c r="G755" s="19" t="s">
        <v>2910</v>
      </c>
      <c r="H755" s="21" t="s">
        <v>2911</v>
      </c>
      <c r="I755" s="21" t="s">
        <v>20</v>
      </c>
      <c r="J755" s="20" t="s">
        <v>2399</v>
      </c>
      <c r="K755" s="20" t="s">
        <v>2912</v>
      </c>
    </row>
    <row r="756" spans="1:11" ht="46" customHeight="1">
      <c r="A756" s="19">
        <v>752</v>
      </c>
      <c r="B756" s="19" t="s">
        <v>2392</v>
      </c>
      <c r="C756" s="20" t="s">
        <v>2904</v>
      </c>
      <c r="D756" s="20" t="s">
        <v>2394</v>
      </c>
      <c r="E756" s="21" t="s">
        <v>2905</v>
      </c>
      <c r="F756" s="20" t="s">
        <v>2906</v>
      </c>
      <c r="G756" s="19" t="s">
        <v>2913</v>
      </c>
      <c r="H756" s="21" t="s">
        <v>2914</v>
      </c>
      <c r="I756" s="21" t="s">
        <v>20</v>
      </c>
      <c r="J756" s="20" t="s">
        <v>2399</v>
      </c>
      <c r="K756" s="20" t="s">
        <v>2915</v>
      </c>
    </row>
    <row r="757" spans="1:11" ht="46" customHeight="1">
      <c r="A757" s="19">
        <v>753</v>
      </c>
      <c r="B757" s="19" t="s">
        <v>2392</v>
      </c>
      <c r="C757" s="20" t="s">
        <v>2904</v>
      </c>
      <c r="D757" s="20" t="s">
        <v>2394</v>
      </c>
      <c r="E757" s="21" t="s">
        <v>2905</v>
      </c>
      <c r="F757" s="20" t="s">
        <v>2906</v>
      </c>
      <c r="G757" s="19" t="s">
        <v>2916</v>
      </c>
      <c r="H757" s="21" t="s">
        <v>2917</v>
      </c>
      <c r="I757" s="21" t="s">
        <v>20</v>
      </c>
      <c r="J757" s="20" t="s">
        <v>2399</v>
      </c>
      <c r="K757" s="20" t="s">
        <v>2918</v>
      </c>
    </row>
    <row r="758" spans="1:11" ht="46" customHeight="1">
      <c r="A758" s="19">
        <v>754</v>
      </c>
      <c r="B758" s="19" t="s">
        <v>2392</v>
      </c>
      <c r="C758" s="20" t="s">
        <v>2904</v>
      </c>
      <c r="D758" s="20" t="s">
        <v>2394</v>
      </c>
      <c r="E758" s="21" t="s">
        <v>2905</v>
      </c>
      <c r="F758" s="20" t="s">
        <v>2906</v>
      </c>
      <c r="G758" s="19" t="s">
        <v>2919</v>
      </c>
      <c r="H758" s="21" t="s">
        <v>2920</v>
      </c>
      <c r="I758" s="21" t="s">
        <v>20</v>
      </c>
      <c r="J758" s="20" t="s">
        <v>2399</v>
      </c>
      <c r="K758" s="20" t="s">
        <v>2921</v>
      </c>
    </row>
    <row r="759" spans="1:11" ht="46" customHeight="1">
      <c r="A759" s="19">
        <v>755</v>
      </c>
      <c r="B759" s="19" t="s">
        <v>2392</v>
      </c>
      <c r="C759" s="20" t="s">
        <v>2904</v>
      </c>
      <c r="D759" s="20" t="s">
        <v>2394</v>
      </c>
      <c r="E759" s="21" t="s">
        <v>2905</v>
      </c>
      <c r="F759" s="20" t="s">
        <v>2906</v>
      </c>
      <c r="G759" s="19" t="s">
        <v>2922</v>
      </c>
      <c r="H759" s="21" t="s">
        <v>2923</v>
      </c>
      <c r="I759" s="21" t="s">
        <v>20</v>
      </c>
      <c r="J759" s="20" t="s">
        <v>2469</v>
      </c>
      <c r="K759" s="20" t="s">
        <v>2924</v>
      </c>
    </row>
    <row r="760" spans="1:11" ht="46" customHeight="1">
      <c r="A760" s="19">
        <v>756</v>
      </c>
      <c r="B760" s="19" t="s">
        <v>2392</v>
      </c>
      <c r="C760" s="20" t="s">
        <v>2925</v>
      </c>
      <c r="D760" s="20" t="s">
        <v>2394</v>
      </c>
      <c r="E760" s="21" t="s">
        <v>2926</v>
      </c>
      <c r="F760" s="20" t="s">
        <v>2927</v>
      </c>
      <c r="G760" s="19" t="s">
        <v>2928</v>
      </c>
      <c r="H760" s="21" t="s">
        <v>2929</v>
      </c>
      <c r="I760" s="21" t="s">
        <v>20</v>
      </c>
      <c r="J760" s="20" t="s">
        <v>2469</v>
      </c>
      <c r="K760" s="20" t="s">
        <v>2930</v>
      </c>
    </row>
    <row r="761" spans="1:11" ht="46" customHeight="1">
      <c r="A761" s="19">
        <v>757</v>
      </c>
      <c r="B761" s="19" t="s">
        <v>2392</v>
      </c>
      <c r="C761" s="20" t="s">
        <v>2925</v>
      </c>
      <c r="D761" s="20" t="s">
        <v>2394</v>
      </c>
      <c r="E761" s="21" t="s">
        <v>2926</v>
      </c>
      <c r="F761" s="20" t="s">
        <v>2927</v>
      </c>
      <c r="G761" s="19" t="s">
        <v>2931</v>
      </c>
      <c r="H761" s="21" t="s">
        <v>2932</v>
      </c>
      <c r="I761" s="21" t="s">
        <v>20</v>
      </c>
      <c r="J761" s="20" t="s">
        <v>2450</v>
      </c>
      <c r="K761" s="20" t="s">
        <v>2933</v>
      </c>
    </row>
    <row r="762" spans="1:11" ht="46" customHeight="1">
      <c r="A762" s="19">
        <v>758</v>
      </c>
      <c r="B762" s="19" t="s">
        <v>2392</v>
      </c>
      <c r="C762" s="20" t="s">
        <v>2925</v>
      </c>
      <c r="D762" s="20" t="s">
        <v>2394</v>
      </c>
      <c r="E762" s="21" t="s">
        <v>2926</v>
      </c>
      <c r="F762" s="20" t="s">
        <v>2927</v>
      </c>
      <c r="G762" s="19" t="s">
        <v>2934</v>
      </c>
      <c r="H762" s="21" t="s">
        <v>2935</v>
      </c>
      <c r="I762" s="21" t="s">
        <v>20</v>
      </c>
      <c r="J762" s="20" t="s">
        <v>2450</v>
      </c>
      <c r="K762" s="20" t="s">
        <v>2936</v>
      </c>
    </row>
    <row r="763" spans="1:11" ht="46" customHeight="1">
      <c r="A763" s="19">
        <v>759</v>
      </c>
      <c r="B763" s="19" t="s">
        <v>2392</v>
      </c>
      <c r="C763" s="20" t="s">
        <v>2925</v>
      </c>
      <c r="D763" s="20" t="s">
        <v>2394</v>
      </c>
      <c r="E763" s="21" t="s">
        <v>2926</v>
      </c>
      <c r="F763" s="20" t="s">
        <v>2927</v>
      </c>
      <c r="G763" s="19" t="s">
        <v>2937</v>
      </c>
      <c r="H763" s="21" t="s">
        <v>2938</v>
      </c>
      <c r="I763" s="21" t="s">
        <v>20</v>
      </c>
      <c r="J763" s="20" t="s">
        <v>2450</v>
      </c>
      <c r="K763" s="20" t="s">
        <v>2939</v>
      </c>
    </row>
    <row r="764" spans="1:11" ht="46" customHeight="1">
      <c r="A764" s="19">
        <v>760</v>
      </c>
      <c r="B764" s="19" t="s">
        <v>2392</v>
      </c>
      <c r="C764" s="20" t="s">
        <v>2925</v>
      </c>
      <c r="D764" s="20" t="s">
        <v>2394</v>
      </c>
      <c r="E764" s="21" t="s">
        <v>2926</v>
      </c>
      <c r="F764" s="20" t="s">
        <v>2927</v>
      </c>
      <c r="G764" s="19" t="s">
        <v>2940</v>
      </c>
      <c r="H764" s="21" t="s">
        <v>2941</v>
      </c>
      <c r="I764" s="21" t="s">
        <v>20</v>
      </c>
      <c r="J764" s="20" t="s">
        <v>2399</v>
      </c>
      <c r="K764" s="20" t="s">
        <v>2942</v>
      </c>
    </row>
    <row r="765" spans="1:11" ht="46" customHeight="1">
      <c r="A765" s="19">
        <v>761</v>
      </c>
      <c r="B765" s="19" t="s">
        <v>2392</v>
      </c>
      <c r="C765" s="20" t="s">
        <v>2925</v>
      </c>
      <c r="D765" s="20" t="s">
        <v>2394</v>
      </c>
      <c r="E765" s="21" t="s">
        <v>2926</v>
      </c>
      <c r="F765" s="20" t="s">
        <v>2927</v>
      </c>
      <c r="G765" s="19" t="s">
        <v>2943</v>
      </c>
      <c r="H765" s="21" t="s">
        <v>2944</v>
      </c>
      <c r="I765" s="21" t="s">
        <v>20</v>
      </c>
      <c r="J765" s="20" t="s">
        <v>2399</v>
      </c>
      <c r="K765" s="20" t="s">
        <v>2945</v>
      </c>
    </row>
    <row r="766" spans="1:11" ht="46" customHeight="1">
      <c r="A766" s="19">
        <v>762</v>
      </c>
      <c r="B766" s="19" t="s">
        <v>2392</v>
      </c>
      <c r="C766" s="20" t="s">
        <v>2946</v>
      </c>
      <c r="D766" s="20" t="s">
        <v>2394</v>
      </c>
      <c r="E766" s="21" t="s">
        <v>2947</v>
      </c>
      <c r="F766" s="20" t="s">
        <v>2948</v>
      </c>
      <c r="G766" s="19" t="s">
        <v>2949</v>
      </c>
      <c r="H766" s="21" t="s">
        <v>2950</v>
      </c>
      <c r="I766" s="21" t="s">
        <v>20</v>
      </c>
      <c r="J766" s="20" t="s">
        <v>2399</v>
      </c>
      <c r="K766" s="20" t="s">
        <v>2951</v>
      </c>
    </row>
    <row r="767" spans="1:11" ht="46" customHeight="1">
      <c r="A767" s="19">
        <v>763</v>
      </c>
      <c r="B767" s="19" t="s">
        <v>2392</v>
      </c>
      <c r="C767" s="20" t="s">
        <v>2946</v>
      </c>
      <c r="D767" s="20" t="s">
        <v>2394</v>
      </c>
      <c r="E767" s="21" t="s">
        <v>2947</v>
      </c>
      <c r="F767" s="20" t="s">
        <v>2948</v>
      </c>
      <c r="G767" s="19" t="s">
        <v>2952</v>
      </c>
      <c r="H767" s="21" t="s">
        <v>2953</v>
      </c>
      <c r="I767" s="21" t="s">
        <v>20</v>
      </c>
      <c r="J767" s="20" t="s">
        <v>2399</v>
      </c>
      <c r="K767" s="20" t="s">
        <v>2954</v>
      </c>
    </row>
    <row r="768" spans="1:11" ht="46" customHeight="1">
      <c r="A768" s="19">
        <v>764</v>
      </c>
      <c r="B768" s="19" t="s">
        <v>2392</v>
      </c>
      <c r="C768" s="20" t="s">
        <v>2946</v>
      </c>
      <c r="D768" s="20" t="s">
        <v>2394</v>
      </c>
      <c r="E768" s="21" t="s">
        <v>2947</v>
      </c>
      <c r="F768" s="20" t="s">
        <v>2948</v>
      </c>
      <c r="G768" s="19" t="s">
        <v>2955</v>
      </c>
      <c r="H768" s="21" t="s">
        <v>2956</v>
      </c>
      <c r="I768" s="21" t="s">
        <v>20</v>
      </c>
      <c r="J768" s="20" t="s">
        <v>2399</v>
      </c>
      <c r="K768" s="20" t="s">
        <v>2957</v>
      </c>
    </row>
    <row r="769" spans="1:11" ht="46" customHeight="1">
      <c r="A769" s="19">
        <v>765</v>
      </c>
      <c r="B769" s="19" t="s">
        <v>2392</v>
      </c>
      <c r="C769" s="20" t="s">
        <v>2946</v>
      </c>
      <c r="D769" s="20" t="s">
        <v>2394</v>
      </c>
      <c r="E769" s="21" t="s">
        <v>2947</v>
      </c>
      <c r="F769" s="20" t="s">
        <v>2948</v>
      </c>
      <c r="G769" s="19" t="s">
        <v>2958</v>
      </c>
      <c r="H769" s="21" t="s">
        <v>2959</v>
      </c>
      <c r="I769" s="21" t="s">
        <v>20</v>
      </c>
      <c r="J769" s="20" t="s">
        <v>2469</v>
      </c>
      <c r="K769" s="20" t="s">
        <v>2960</v>
      </c>
    </row>
    <row r="770" spans="1:11" ht="46" customHeight="1">
      <c r="A770" s="19">
        <v>766</v>
      </c>
      <c r="B770" s="19" t="s">
        <v>2392</v>
      </c>
      <c r="C770" s="20" t="s">
        <v>2946</v>
      </c>
      <c r="D770" s="20" t="s">
        <v>2394</v>
      </c>
      <c r="E770" s="21" t="s">
        <v>2947</v>
      </c>
      <c r="F770" s="20" t="s">
        <v>2948</v>
      </c>
      <c r="G770" s="19" t="s">
        <v>2961</v>
      </c>
      <c r="H770" s="21" t="s">
        <v>2962</v>
      </c>
      <c r="I770" s="21" t="s">
        <v>20</v>
      </c>
      <c r="J770" s="20" t="s">
        <v>2399</v>
      </c>
      <c r="K770" s="20" t="s">
        <v>2963</v>
      </c>
    </row>
    <row r="771" spans="1:11" ht="46" customHeight="1">
      <c r="A771" s="19">
        <v>767</v>
      </c>
      <c r="B771" s="19" t="s">
        <v>2392</v>
      </c>
      <c r="C771" s="20" t="s">
        <v>2946</v>
      </c>
      <c r="D771" s="20" t="s">
        <v>2394</v>
      </c>
      <c r="E771" s="21" t="s">
        <v>2947</v>
      </c>
      <c r="F771" s="20" t="s">
        <v>2948</v>
      </c>
      <c r="G771" s="19" t="s">
        <v>2964</v>
      </c>
      <c r="H771" s="21" t="s">
        <v>2965</v>
      </c>
      <c r="I771" s="21" t="s">
        <v>20</v>
      </c>
      <c r="J771" s="20" t="s">
        <v>2469</v>
      </c>
      <c r="K771" s="20" t="s">
        <v>2966</v>
      </c>
    </row>
    <row r="772" spans="1:11" ht="46" customHeight="1">
      <c r="A772" s="19">
        <v>768</v>
      </c>
      <c r="B772" s="19" t="s">
        <v>2392</v>
      </c>
      <c r="C772" s="20" t="s">
        <v>2967</v>
      </c>
      <c r="D772" s="20" t="s">
        <v>2394</v>
      </c>
      <c r="E772" s="21" t="s">
        <v>2968</v>
      </c>
      <c r="F772" s="20" t="s">
        <v>2969</v>
      </c>
      <c r="G772" s="19" t="s">
        <v>2970</v>
      </c>
      <c r="H772" s="21" t="s">
        <v>2971</v>
      </c>
      <c r="I772" s="21" t="s">
        <v>20</v>
      </c>
      <c r="J772" s="20" t="s">
        <v>2399</v>
      </c>
      <c r="K772" s="20" t="s">
        <v>2972</v>
      </c>
    </row>
    <row r="773" spans="1:11" ht="46" customHeight="1">
      <c r="A773" s="19">
        <v>769</v>
      </c>
      <c r="B773" s="19" t="s">
        <v>2392</v>
      </c>
      <c r="C773" s="20" t="s">
        <v>2967</v>
      </c>
      <c r="D773" s="20" t="s">
        <v>2394</v>
      </c>
      <c r="E773" s="21" t="s">
        <v>2968</v>
      </c>
      <c r="F773" s="20" t="s">
        <v>2969</v>
      </c>
      <c r="G773" s="19" t="s">
        <v>2973</v>
      </c>
      <c r="H773" s="21" t="s">
        <v>2824</v>
      </c>
      <c r="I773" s="21" t="s">
        <v>20</v>
      </c>
      <c r="J773" s="20" t="s">
        <v>2399</v>
      </c>
      <c r="K773" s="20" t="s">
        <v>2974</v>
      </c>
    </row>
    <row r="774" spans="1:11" ht="46" customHeight="1">
      <c r="A774" s="19">
        <v>770</v>
      </c>
      <c r="B774" s="19" t="s">
        <v>2392</v>
      </c>
      <c r="C774" s="20" t="s">
        <v>2967</v>
      </c>
      <c r="D774" s="20" t="s">
        <v>2394</v>
      </c>
      <c r="E774" s="21" t="s">
        <v>2968</v>
      </c>
      <c r="F774" s="20" t="s">
        <v>2969</v>
      </c>
      <c r="G774" s="19" t="s">
        <v>2975</v>
      </c>
      <c r="H774" s="21" t="s">
        <v>2976</v>
      </c>
      <c r="I774" s="21" t="s">
        <v>20</v>
      </c>
      <c r="J774" s="20" t="s">
        <v>2399</v>
      </c>
      <c r="K774" s="20" t="s">
        <v>2977</v>
      </c>
    </row>
    <row r="775" spans="1:11" ht="46" customHeight="1">
      <c r="A775" s="19">
        <v>771</v>
      </c>
      <c r="B775" s="19" t="s">
        <v>2392</v>
      </c>
      <c r="C775" s="20" t="s">
        <v>2967</v>
      </c>
      <c r="D775" s="20" t="s">
        <v>2394</v>
      </c>
      <c r="E775" s="21" t="s">
        <v>2968</v>
      </c>
      <c r="F775" s="20" t="s">
        <v>2969</v>
      </c>
      <c r="G775" s="19" t="s">
        <v>2978</v>
      </c>
      <c r="H775" s="21" t="s">
        <v>2979</v>
      </c>
      <c r="I775" s="21" t="s">
        <v>20</v>
      </c>
      <c r="J775" s="20" t="s">
        <v>2399</v>
      </c>
      <c r="K775" s="20" t="s">
        <v>2980</v>
      </c>
    </row>
    <row r="776" spans="1:11" ht="46" customHeight="1">
      <c r="A776" s="19">
        <v>772</v>
      </c>
      <c r="B776" s="19" t="s">
        <v>2392</v>
      </c>
      <c r="C776" s="20" t="s">
        <v>2967</v>
      </c>
      <c r="D776" s="20" t="s">
        <v>2394</v>
      </c>
      <c r="E776" s="21" t="s">
        <v>2968</v>
      </c>
      <c r="F776" s="20" t="s">
        <v>2969</v>
      </c>
      <c r="G776" s="19" t="s">
        <v>2981</v>
      </c>
      <c r="H776" s="21" t="s">
        <v>2982</v>
      </c>
      <c r="I776" s="21" t="s">
        <v>20</v>
      </c>
      <c r="J776" s="20" t="s">
        <v>2399</v>
      </c>
      <c r="K776" s="20" t="s">
        <v>2983</v>
      </c>
    </row>
    <row r="777" spans="1:11" ht="46" customHeight="1">
      <c r="A777" s="19">
        <v>773</v>
      </c>
      <c r="B777" s="19" t="s">
        <v>2392</v>
      </c>
      <c r="C777" s="20" t="s">
        <v>2967</v>
      </c>
      <c r="D777" s="20" t="s">
        <v>2394</v>
      </c>
      <c r="E777" s="21" t="s">
        <v>2968</v>
      </c>
      <c r="F777" s="20" t="s">
        <v>2969</v>
      </c>
      <c r="G777" s="19" t="s">
        <v>2984</v>
      </c>
      <c r="H777" s="21" t="s">
        <v>2985</v>
      </c>
      <c r="I777" s="21" t="s">
        <v>20</v>
      </c>
      <c r="J777" s="20" t="s">
        <v>2399</v>
      </c>
      <c r="K777" s="20" t="s">
        <v>2986</v>
      </c>
    </row>
    <row r="778" spans="1:11" ht="46" customHeight="1">
      <c r="A778" s="19">
        <v>774</v>
      </c>
      <c r="B778" s="19" t="s">
        <v>2392</v>
      </c>
      <c r="C778" s="20" t="s">
        <v>2987</v>
      </c>
      <c r="D778" s="20" t="s">
        <v>2394</v>
      </c>
      <c r="E778" s="21" t="s">
        <v>2988</v>
      </c>
      <c r="F778" s="20" t="s">
        <v>2989</v>
      </c>
      <c r="G778" s="19" t="s">
        <v>2990</v>
      </c>
      <c r="H778" s="21" t="s">
        <v>2991</v>
      </c>
      <c r="I778" s="21" t="s">
        <v>20</v>
      </c>
      <c r="J778" s="20" t="s">
        <v>2406</v>
      </c>
      <c r="K778" s="20" t="s">
        <v>2992</v>
      </c>
    </row>
    <row r="779" spans="1:11" ht="46" customHeight="1">
      <c r="A779" s="19">
        <v>775</v>
      </c>
      <c r="B779" s="19" t="s">
        <v>2392</v>
      </c>
      <c r="C779" s="20" t="s">
        <v>2987</v>
      </c>
      <c r="D779" s="20" t="s">
        <v>2394</v>
      </c>
      <c r="E779" s="21" t="s">
        <v>2988</v>
      </c>
      <c r="F779" s="20" t="s">
        <v>2989</v>
      </c>
      <c r="G779" s="19" t="s">
        <v>2993</v>
      </c>
      <c r="H779" s="21" t="s">
        <v>2994</v>
      </c>
      <c r="I779" s="21" t="s">
        <v>20</v>
      </c>
      <c r="J779" s="20" t="s">
        <v>2399</v>
      </c>
      <c r="K779" s="20" t="s">
        <v>2995</v>
      </c>
    </row>
    <row r="780" spans="1:11" ht="46" customHeight="1">
      <c r="A780" s="19">
        <v>776</v>
      </c>
      <c r="B780" s="19" t="s">
        <v>2392</v>
      </c>
      <c r="C780" s="20" t="s">
        <v>2987</v>
      </c>
      <c r="D780" s="20" t="s">
        <v>2394</v>
      </c>
      <c r="E780" s="21" t="s">
        <v>2988</v>
      </c>
      <c r="F780" s="20" t="s">
        <v>2989</v>
      </c>
      <c r="G780" s="19" t="s">
        <v>2996</v>
      </c>
      <c r="H780" s="21" t="s">
        <v>2997</v>
      </c>
      <c r="I780" s="21" t="s">
        <v>20</v>
      </c>
      <c r="J780" s="20" t="s">
        <v>2399</v>
      </c>
      <c r="K780" s="20" t="s">
        <v>2998</v>
      </c>
    </row>
    <row r="781" spans="1:11" ht="46" customHeight="1">
      <c r="A781" s="19">
        <v>777</v>
      </c>
      <c r="B781" s="19" t="s">
        <v>2392</v>
      </c>
      <c r="C781" s="20" t="s">
        <v>2987</v>
      </c>
      <c r="D781" s="20" t="s">
        <v>2394</v>
      </c>
      <c r="E781" s="21" t="s">
        <v>2988</v>
      </c>
      <c r="F781" s="20" t="s">
        <v>2989</v>
      </c>
      <c r="G781" s="19" t="s">
        <v>2999</v>
      </c>
      <c r="H781" s="21" t="s">
        <v>3000</v>
      </c>
      <c r="I781" s="21" t="s">
        <v>20</v>
      </c>
      <c r="J781" s="20" t="s">
        <v>2399</v>
      </c>
      <c r="K781" s="20" t="s">
        <v>3001</v>
      </c>
    </row>
    <row r="782" spans="1:11" ht="46" customHeight="1">
      <c r="A782" s="19">
        <v>778</v>
      </c>
      <c r="B782" s="19" t="s">
        <v>2392</v>
      </c>
      <c r="C782" s="20" t="s">
        <v>2987</v>
      </c>
      <c r="D782" s="20" t="s">
        <v>2394</v>
      </c>
      <c r="E782" s="21" t="s">
        <v>2988</v>
      </c>
      <c r="F782" s="20" t="s">
        <v>2989</v>
      </c>
      <c r="G782" s="19" t="s">
        <v>3002</v>
      </c>
      <c r="H782" s="21" t="s">
        <v>3003</v>
      </c>
      <c r="I782" s="21" t="s">
        <v>20</v>
      </c>
      <c r="J782" s="20" t="s">
        <v>2399</v>
      </c>
      <c r="K782" s="20" t="s">
        <v>3004</v>
      </c>
    </row>
    <row r="783" spans="1:11" ht="46" customHeight="1">
      <c r="A783" s="19">
        <v>779</v>
      </c>
      <c r="B783" s="19" t="s">
        <v>2392</v>
      </c>
      <c r="C783" s="20" t="s">
        <v>2987</v>
      </c>
      <c r="D783" s="20" t="s">
        <v>2394</v>
      </c>
      <c r="E783" s="21" t="s">
        <v>2988</v>
      </c>
      <c r="F783" s="20" t="s">
        <v>2989</v>
      </c>
      <c r="G783" s="19" t="s">
        <v>3005</v>
      </c>
      <c r="H783" s="21" t="s">
        <v>3006</v>
      </c>
      <c r="I783" s="21" t="s">
        <v>20</v>
      </c>
      <c r="J783" s="20" t="s">
        <v>2399</v>
      </c>
      <c r="K783" s="20" t="s">
        <v>3007</v>
      </c>
    </row>
    <row r="784" spans="1:11" ht="46" customHeight="1">
      <c r="A784" s="19">
        <v>780</v>
      </c>
      <c r="B784" s="19" t="s">
        <v>2392</v>
      </c>
      <c r="C784" s="20" t="s">
        <v>3008</v>
      </c>
      <c r="D784" s="20" t="s">
        <v>2394</v>
      </c>
      <c r="E784" s="21" t="s">
        <v>3009</v>
      </c>
      <c r="F784" s="20" t="s">
        <v>3010</v>
      </c>
      <c r="G784" s="19" t="s">
        <v>3011</v>
      </c>
      <c r="H784" s="21" t="s">
        <v>3012</v>
      </c>
      <c r="I784" s="21" t="s">
        <v>20</v>
      </c>
      <c r="J784" s="20" t="s">
        <v>2406</v>
      </c>
      <c r="K784" s="20" t="s">
        <v>3013</v>
      </c>
    </row>
    <row r="785" spans="1:11" ht="46" customHeight="1">
      <c r="A785" s="19">
        <v>781</v>
      </c>
      <c r="B785" s="19" t="s">
        <v>2392</v>
      </c>
      <c r="C785" s="20" t="s">
        <v>3008</v>
      </c>
      <c r="D785" s="20" t="s">
        <v>2394</v>
      </c>
      <c r="E785" s="21" t="s">
        <v>3009</v>
      </c>
      <c r="F785" s="20" t="s">
        <v>3010</v>
      </c>
      <c r="G785" s="19" t="s">
        <v>3014</v>
      </c>
      <c r="H785" s="21" t="s">
        <v>3015</v>
      </c>
      <c r="I785" s="21" t="s">
        <v>20</v>
      </c>
      <c r="J785" s="20" t="s">
        <v>2399</v>
      </c>
      <c r="K785" s="20" t="s">
        <v>3016</v>
      </c>
    </row>
    <row r="786" spans="1:11" ht="46" customHeight="1">
      <c r="A786" s="19">
        <v>782</v>
      </c>
      <c r="B786" s="19" t="s">
        <v>2392</v>
      </c>
      <c r="C786" s="20" t="s">
        <v>3008</v>
      </c>
      <c r="D786" s="20" t="s">
        <v>2394</v>
      </c>
      <c r="E786" s="21" t="s">
        <v>3009</v>
      </c>
      <c r="F786" s="20" t="s">
        <v>3010</v>
      </c>
      <c r="G786" s="19" t="s">
        <v>3017</v>
      </c>
      <c r="H786" s="21" t="s">
        <v>3018</v>
      </c>
      <c r="I786" s="21" t="s">
        <v>20</v>
      </c>
      <c r="J786" s="20" t="s">
        <v>2399</v>
      </c>
      <c r="K786" s="20" t="s">
        <v>3019</v>
      </c>
    </row>
    <row r="787" spans="1:11" ht="46" customHeight="1">
      <c r="A787" s="19">
        <v>783</v>
      </c>
      <c r="B787" s="19" t="s">
        <v>2392</v>
      </c>
      <c r="C787" s="20" t="s">
        <v>3008</v>
      </c>
      <c r="D787" s="20" t="s">
        <v>2394</v>
      </c>
      <c r="E787" s="21" t="s">
        <v>3009</v>
      </c>
      <c r="F787" s="20" t="s">
        <v>3010</v>
      </c>
      <c r="G787" s="19" t="s">
        <v>3020</v>
      </c>
      <c r="H787" s="21" t="s">
        <v>3021</v>
      </c>
      <c r="I787" s="21" t="s">
        <v>20</v>
      </c>
      <c r="J787" s="20" t="s">
        <v>2713</v>
      </c>
      <c r="K787" s="20" t="s">
        <v>3022</v>
      </c>
    </row>
    <row r="788" spans="1:11" ht="46" customHeight="1">
      <c r="A788" s="19">
        <v>784</v>
      </c>
      <c r="B788" s="19" t="s">
        <v>2392</v>
      </c>
      <c r="C788" s="20" t="s">
        <v>3008</v>
      </c>
      <c r="D788" s="20" t="s">
        <v>2394</v>
      </c>
      <c r="E788" s="21" t="s">
        <v>3009</v>
      </c>
      <c r="F788" s="20" t="s">
        <v>3010</v>
      </c>
      <c r="G788" s="19" t="s">
        <v>3023</v>
      </c>
      <c r="H788" s="21" t="s">
        <v>3024</v>
      </c>
      <c r="I788" s="21" t="s">
        <v>20</v>
      </c>
      <c r="J788" s="20" t="s">
        <v>2399</v>
      </c>
      <c r="K788" s="20" t="s">
        <v>3025</v>
      </c>
    </row>
    <row r="789" spans="1:11" ht="46" customHeight="1">
      <c r="A789" s="19">
        <v>785</v>
      </c>
      <c r="B789" s="19" t="s">
        <v>2392</v>
      </c>
      <c r="C789" s="20" t="s">
        <v>3008</v>
      </c>
      <c r="D789" s="20" t="s">
        <v>2394</v>
      </c>
      <c r="E789" s="21" t="s">
        <v>3009</v>
      </c>
      <c r="F789" s="20" t="s">
        <v>3010</v>
      </c>
      <c r="G789" s="19" t="s">
        <v>3026</v>
      </c>
      <c r="H789" s="21" t="s">
        <v>3027</v>
      </c>
      <c r="I789" s="21" t="s">
        <v>20</v>
      </c>
      <c r="J789" s="20" t="s">
        <v>2406</v>
      </c>
      <c r="K789" s="20" t="s">
        <v>3028</v>
      </c>
    </row>
    <row r="790" spans="1:11" ht="46" customHeight="1">
      <c r="A790" s="19">
        <v>786</v>
      </c>
      <c r="B790" s="19" t="s">
        <v>2392</v>
      </c>
      <c r="C790" s="20" t="s">
        <v>3029</v>
      </c>
      <c r="D790" s="20" t="s">
        <v>2394</v>
      </c>
      <c r="E790" s="21" t="s">
        <v>3030</v>
      </c>
      <c r="F790" s="20" t="s">
        <v>3031</v>
      </c>
      <c r="G790" s="19" t="s">
        <v>3032</v>
      </c>
      <c r="H790" s="21" t="s">
        <v>3033</v>
      </c>
      <c r="I790" s="21" t="s">
        <v>20</v>
      </c>
      <c r="J790" s="20" t="s">
        <v>2399</v>
      </c>
      <c r="K790" s="20" t="s">
        <v>3034</v>
      </c>
    </row>
    <row r="791" spans="1:11" ht="46" customHeight="1">
      <c r="A791" s="19">
        <v>787</v>
      </c>
      <c r="B791" s="19" t="s">
        <v>2392</v>
      </c>
      <c r="C791" s="20" t="s">
        <v>3029</v>
      </c>
      <c r="D791" s="20" t="s">
        <v>2394</v>
      </c>
      <c r="E791" s="21" t="s">
        <v>3030</v>
      </c>
      <c r="F791" s="20" t="s">
        <v>3031</v>
      </c>
      <c r="G791" s="19" t="s">
        <v>3035</v>
      </c>
      <c r="H791" s="21" t="s">
        <v>3036</v>
      </c>
      <c r="I791" s="21" t="s">
        <v>20</v>
      </c>
      <c r="J791" s="20" t="s">
        <v>2399</v>
      </c>
      <c r="K791" s="20" t="s">
        <v>3037</v>
      </c>
    </row>
    <row r="792" spans="1:11" ht="46" customHeight="1">
      <c r="A792" s="19">
        <v>788</v>
      </c>
      <c r="B792" s="19" t="s">
        <v>2392</v>
      </c>
      <c r="C792" s="20" t="s">
        <v>3029</v>
      </c>
      <c r="D792" s="20" t="s">
        <v>2394</v>
      </c>
      <c r="E792" s="21" t="s">
        <v>3030</v>
      </c>
      <c r="F792" s="20" t="s">
        <v>3031</v>
      </c>
      <c r="G792" s="19" t="s">
        <v>3038</v>
      </c>
      <c r="H792" s="21" t="s">
        <v>3039</v>
      </c>
      <c r="I792" s="21" t="s">
        <v>20</v>
      </c>
      <c r="J792" s="20" t="s">
        <v>2399</v>
      </c>
      <c r="K792" s="20" t="s">
        <v>3040</v>
      </c>
    </row>
    <row r="793" spans="1:11" ht="46" customHeight="1">
      <c r="A793" s="19">
        <v>789</v>
      </c>
      <c r="B793" s="19" t="s">
        <v>2392</v>
      </c>
      <c r="C793" s="20" t="s">
        <v>3029</v>
      </c>
      <c r="D793" s="20" t="s">
        <v>2394</v>
      </c>
      <c r="E793" s="21" t="s">
        <v>3030</v>
      </c>
      <c r="F793" s="20" t="s">
        <v>3031</v>
      </c>
      <c r="G793" s="19" t="s">
        <v>3041</v>
      </c>
      <c r="H793" s="21" t="s">
        <v>3042</v>
      </c>
      <c r="I793" s="21" t="s">
        <v>20</v>
      </c>
      <c r="J793" s="20" t="s">
        <v>2450</v>
      </c>
      <c r="K793" s="20" t="s">
        <v>3043</v>
      </c>
    </row>
    <row r="794" spans="1:11" ht="46" customHeight="1">
      <c r="A794" s="19">
        <v>790</v>
      </c>
      <c r="B794" s="19" t="s">
        <v>2392</v>
      </c>
      <c r="C794" s="20" t="s">
        <v>3029</v>
      </c>
      <c r="D794" s="20" t="s">
        <v>2394</v>
      </c>
      <c r="E794" s="21" t="s">
        <v>3030</v>
      </c>
      <c r="F794" s="20" t="s">
        <v>3031</v>
      </c>
      <c r="G794" s="19" t="s">
        <v>3044</v>
      </c>
      <c r="H794" s="21" t="s">
        <v>3045</v>
      </c>
      <c r="I794" s="21" t="s">
        <v>20</v>
      </c>
      <c r="J794" s="20" t="s">
        <v>2399</v>
      </c>
      <c r="K794" s="20" t="s">
        <v>3046</v>
      </c>
    </row>
    <row r="795" spans="1:11" ht="46" customHeight="1">
      <c r="A795" s="19">
        <v>791</v>
      </c>
      <c r="B795" s="19" t="s">
        <v>2392</v>
      </c>
      <c r="C795" s="20" t="s">
        <v>3029</v>
      </c>
      <c r="D795" s="20" t="s">
        <v>2394</v>
      </c>
      <c r="E795" s="21" t="s">
        <v>3030</v>
      </c>
      <c r="F795" s="20" t="s">
        <v>3031</v>
      </c>
      <c r="G795" s="19" t="s">
        <v>3047</v>
      </c>
      <c r="H795" s="21" t="s">
        <v>3048</v>
      </c>
      <c r="I795" s="21" t="s">
        <v>20</v>
      </c>
      <c r="J795" s="20" t="s">
        <v>2399</v>
      </c>
      <c r="K795" s="20" t="s">
        <v>3049</v>
      </c>
    </row>
    <row r="796" spans="1:11" ht="46" customHeight="1">
      <c r="A796" s="19">
        <v>792</v>
      </c>
      <c r="B796" s="19" t="s">
        <v>2392</v>
      </c>
      <c r="C796" s="20" t="s">
        <v>3050</v>
      </c>
      <c r="D796" s="20" t="s">
        <v>2394</v>
      </c>
      <c r="E796" s="21" t="s">
        <v>3051</v>
      </c>
      <c r="F796" s="20" t="s">
        <v>3052</v>
      </c>
      <c r="G796" s="19" t="s">
        <v>3053</v>
      </c>
      <c r="H796" s="21" t="s">
        <v>3054</v>
      </c>
      <c r="I796" s="21" t="s">
        <v>20</v>
      </c>
      <c r="J796" s="20" t="s">
        <v>2399</v>
      </c>
      <c r="K796" s="20" t="s">
        <v>3055</v>
      </c>
    </row>
    <row r="797" spans="1:11" ht="46" customHeight="1">
      <c r="A797" s="19">
        <v>793</v>
      </c>
      <c r="B797" s="19" t="s">
        <v>2392</v>
      </c>
      <c r="C797" s="20" t="s">
        <v>3050</v>
      </c>
      <c r="D797" s="20" t="s">
        <v>2394</v>
      </c>
      <c r="E797" s="21" t="s">
        <v>3051</v>
      </c>
      <c r="F797" s="20" t="s">
        <v>3052</v>
      </c>
      <c r="G797" s="19" t="s">
        <v>3056</v>
      </c>
      <c r="H797" s="21" t="s">
        <v>3057</v>
      </c>
      <c r="I797" s="21" t="s">
        <v>20</v>
      </c>
      <c r="J797" s="20" t="s">
        <v>2399</v>
      </c>
      <c r="K797" s="20" t="s">
        <v>3058</v>
      </c>
    </row>
    <row r="798" spans="1:11" ht="46" customHeight="1">
      <c r="A798" s="19">
        <v>794</v>
      </c>
      <c r="B798" s="19" t="s">
        <v>2392</v>
      </c>
      <c r="C798" s="20" t="s">
        <v>3050</v>
      </c>
      <c r="D798" s="20" t="s">
        <v>2394</v>
      </c>
      <c r="E798" s="21" t="s">
        <v>3051</v>
      </c>
      <c r="F798" s="20" t="s">
        <v>3052</v>
      </c>
      <c r="G798" s="19" t="s">
        <v>3059</v>
      </c>
      <c r="H798" s="21" t="s">
        <v>3060</v>
      </c>
      <c r="I798" s="21" t="s">
        <v>20</v>
      </c>
      <c r="J798" s="20" t="s">
        <v>2399</v>
      </c>
      <c r="K798" s="20" t="s">
        <v>3061</v>
      </c>
    </row>
    <row r="799" spans="1:11" ht="46" customHeight="1">
      <c r="A799" s="19">
        <v>795</v>
      </c>
      <c r="B799" s="19" t="s">
        <v>2392</v>
      </c>
      <c r="C799" s="20" t="s">
        <v>3050</v>
      </c>
      <c r="D799" s="20" t="s">
        <v>2394</v>
      </c>
      <c r="E799" s="21" t="s">
        <v>3051</v>
      </c>
      <c r="F799" s="20" t="s">
        <v>3052</v>
      </c>
      <c r="G799" s="19" t="s">
        <v>3062</v>
      </c>
      <c r="H799" s="21" t="s">
        <v>3063</v>
      </c>
      <c r="I799" s="21" t="s">
        <v>20</v>
      </c>
      <c r="J799" s="20" t="s">
        <v>2399</v>
      </c>
      <c r="K799" s="20" t="s">
        <v>3064</v>
      </c>
    </row>
    <row r="800" spans="1:11" ht="46" customHeight="1">
      <c r="A800" s="19">
        <v>796</v>
      </c>
      <c r="B800" s="19" t="s">
        <v>2392</v>
      </c>
      <c r="C800" s="20" t="s">
        <v>3050</v>
      </c>
      <c r="D800" s="20" t="s">
        <v>2394</v>
      </c>
      <c r="E800" s="21" t="s">
        <v>3051</v>
      </c>
      <c r="F800" s="20" t="s">
        <v>3052</v>
      </c>
      <c r="G800" s="19" t="s">
        <v>3065</v>
      </c>
      <c r="H800" s="21" t="s">
        <v>3066</v>
      </c>
      <c r="I800" s="21" t="s">
        <v>20</v>
      </c>
      <c r="J800" s="20" t="s">
        <v>2399</v>
      </c>
      <c r="K800" s="20" t="s">
        <v>3067</v>
      </c>
    </row>
    <row r="801" spans="1:11" ht="46" customHeight="1">
      <c r="A801" s="19">
        <v>797</v>
      </c>
      <c r="B801" s="19" t="s">
        <v>2392</v>
      </c>
      <c r="C801" s="20" t="s">
        <v>3050</v>
      </c>
      <c r="D801" s="20" t="s">
        <v>2394</v>
      </c>
      <c r="E801" s="21" t="s">
        <v>3051</v>
      </c>
      <c r="F801" s="20" t="s">
        <v>3052</v>
      </c>
      <c r="G801" s="19" t="s">
        <v>3068</v>
      </c>
      <c r="H801" s="21" t="s">
        <v>3069</v>
      </c>
      <c r="I801" s="21" t="s">
        <v>20</v>
      </c>
      <c r="J801" s="20" t="s">
        <v>2399</v>
      </c>
      <c r="K801" s="20" t="s">
        <v>3070</v>
      </c>
    </row>
    <row r="802" spans="1:11" ht="46" customHeight="1">
      <c r="A802" s="19">
        <v>798</v>
      </c>
      <c r="B802" s="19" t="s">
        <v>2392</v>
      </c>
      <c r="C802" s="20" t="s">
        <v>3071</v>
      </c>
      <c r="D802" s="20" t="s">
        <v>2394</v>
      </c>
      <c r="E802" s="21" t="s">
        <v>3072</v>
      </c>
      <c r="F802" s="20" t="s">
        <v>3073</v>
      </c>
      <c r="G802" s="19" t="s">
        <v>3074</v>
      </c>
      <c r="H802" s="21" t="s">
        <v>3075</v>
      </c>
      <c r="I802" s="21" t="s">
        <v>20</v>
      </c>
      <c r="J802" s="20" t="s">
        <v>2399</v>
      </c>
      <c r="K802" s="20" t="s">
        <v>3076</v>
      </c>
    </row>
    <row r="803" spans="1:11" ht="46" customHeight="1">
      <c r="A803" s="19">
        <v>799</v>
      </c>
      <c r="B803" s="19" t="s">
        <v>2392</v>
      </c>
      <c r="C803" s="20" t="s">
        <v>3071</v>
      </c>
      <c r="D803" s="20" t="s">
        <v>2394</v>
      </c>
      <c r="E803" s="21" t="s">
        <v>3072</v>
      </c>
      <c r="F803" s="20" t="s">
        <v>3073</v>
      </c>
      <c r="G803" s="19" t="s">
        <v>3077</v>
      </c>
      <c r="H803" s="21" t="s">
        <v>3078</v>
      </c>
      <c r="I803" s="21" t="s">
        <v>20</v>
      </c>
      <c r="J803" s="20" t="s">
        <v>2469</v>
      </c>
      <c r="K803" s="20" t="s">
        <v>3079</v>
      </c>
    </row>
    <row r="804" spans="1:11" ht="46" customHeight="1">
      <c r="A804" s="19">
        <v>800</v>
      </c>
      <c r="B804" s="19" t="s">
        <v>2392</v>
      </c>
      <c r="C804" s="20" t="s">
        <v>3071</v>
      </c>
      <c r="D804" s="20" t="s">
        <v>2394</v>
      </c>
      <c r="E804" s="21" t="s">
        <v>3072</v>
      </c>
      <c r="F804" s="20" t="s">
        <v>3073</v>
      </c>
      <c r="G804" s="19" t="s">
        <v>3080</v>
      </c>
      <c r="H804" s="21" t="s">
        <v>3081</v>
      </c>
      <c r="I804" s="21" t="s">
        <v>20</v>
      </c>
      <c r="J804" s="20" t="s">
        <v>2469</v>
      </c>
      <c r="K804" s="20" t="s">
        <v>3082</v>
      </c>
    </row>
    <row r="805" spans="1:11" ht="46" customHeight="1">
      <c r="A805" s="19">
        <v>801</v>
      </c>
      <c r="B805" s="19" t="s">
        <v>2392</v>
      </c>
      <c r="C805" s="20" t="s">
        <v>3071</v>
      </c>
      <c r="D805" s="20" t="s">
        <v>2394</v>
      </c>
      <c r="E805" s="21" t="s">
        <v>3072</v>
      </c>
      <c r="F805" s="20" t="s">
        <v>3073</v>
      </c>
      <c r="G805" s="19" t="s">
        <v>3083</v>
      </c>
      <c r="H805" s="21" t="s">
        <v>3084</v>
      </c>
      <c r="I805" s="21" t="s">
        <v>20</v>
      </c>
      <c r="J805" s="20" t="s">
        <v>2450</v>
      </c>
      <c r="K805" s="20" t="s">
        <v>3085</v>
      </c>
    </row>
    <row r="806" spans="1:11" ht="46" customHeight="1">
      <c r="A806" s="19">
        <v>802</v>
      </c>
      <c r="B806" s="19" t="s">
        <v>2392</v>
      </c>
      <c r="C806" s="20" t="s">
        <v>3071</v>
      </c>
      <c r="D806" s="20" t="s">
        <v>2394</v>
      </c>
      <c r="E806" s="21" t="s">
        <v>3072</v>
      </c>
      <c r="F806" s="20" t="s">
        <v>3073</v>
      </c>
      <c r="G806" s="19" t="s">
        <v>3086</v>
      </c>
      <c r="H806" s="21" t="s">
        <v>3087</v>
      </c>
      <c r="I806" s="21" t="s">
        <v>20</v>
      </c>
      <c r="J806" s="20" t="s">
        <v>2469</v>
      </c>
      <c r="K806" s="20" t="s">
        <v>3088</v>
      </c>
    </row>
    <row r="807" spans="1:11" ht="46" customHeight="1">
      <c r="A807" s="19">
        <v>803</v>
      </c>
      <c r="B807" s="19" t="s">
        <v>2392</v>
      </c>
      <c r="C807" s="20" t="s">
        <v>3071</v>
      </c>
      <c r="D807" s="20" t="s">
        <v>2394</v>
      </c>
      <c r="E807" s="21" t="s">
        <v>3072</v>
      </c>
      <c r="F807" s="20" t="s">
        <v>3073</v>
      </c>
      <c r="G807" s="19" t="s">
        <v>3089</v>
      </c>
      <c r="H807" s="21" t="s">
        <v>3090</v>
      </c>
      <c r="I807" s="21" t="s">
        <v>20</v>
      </c>
      <c r="J807" s="20" t="s">
        <v>2399</v>
      </c>
      <c r="K807" s="20" t="s">
        <v>3091</v>
      </c>
    </row>
    <row r="808" spans="1:11" ht="46" customHeight="1">
      <c r="A808" s="19">
        <v>804</v>
      </c>
      <c r="B808" s="19" t="s">
        <v>2392</v>
      </c>
      <c r="C808" s="20" t="s">
        <v>3092</v>
      </c>
      <c r="D808" s="20" t="s">
        <v>2394</v>
      </c>
      <c r="E808" s="21" t="s">
        <v>3093</v>
      </c>
      <c r="F808" s="20" t="s">
        <v>3094</v>
      </c>
      <c r="G808" s="19" t="s">
        <v>3095</v>
      </c>
      <c r="H808" s="21" t="s">
        <v>3096</v>
      </c>
      <c r="I808" s="21" t="s">
        <v>20</v>
      </c>
      <c r="J808" s="20" t="s">
        <v>2399</v>
      </c>
      <c r="K808" s="20" t="s">
        <v>3097</v>
      </c>
    </row>
    <row r="809" spans="1:11" ht="46" customHeight="1">
      <c r="A809" s="19">
        <v>805</v>
      </c>
      <c r="B809" s="19" t="s">
        <v>2392</v>
      </c>
      <c r="C809" s="20" t="s">
        <v>3092</v>
      </c>
      <c r="D809" s="20" t="s">
        <v>2394</v>
      </c>
      <c r="E809" s="21" t="s">
        <v>3093</v>
      </c>
      <c r="F809" s="20" t="s">
        <v>3094</v>
      </c>
      <c r="G809" s="19" t="s">
        <v>3098</v>
      </c>
      <c r="H809" s="21" t="s">
        <v>3099</v>
      </c>
      <c r="I809" s="21" t="s">
        <v>20</v>
      </c>
      <c r="J809" s="20" t="s">
        <v>2406</v>
      </c>
      <c r="K809" s="20" t="s">
        <v>3100</v>
      </c>
    </row>
    <row r="810" spans="1:11" ht="46" customHeight="1">
      <c r="A810" s="19">
        <v>806</v>
      </c>
      <c r="B810" s="19" t="s">
        <v>2392</v>
      </c>
      <c r="C810" s="20" t="s">
        <v>3092</v>
      </c>
      <c r="D810" s="20" t="s">
        <v>2394</v>
      </c>
      <c r="E810" s="21" t="s">
        <v>3093</v>
      </c>
      <c r="F810" s="20" t="s">
        <v>3094</v>
      </c>
      <c r="G810" s="19" t="s">
        <v>3101</v>
      </c>
      <c r="H810" s="21" t="s">
        <v>3102</v>
      </c>
      <c r="I810" s="21" t="s">
        <v>20</v>
      </c>
      <c r="J810" s="20" t="s">
        <v>2406</v>
      </c>
      <c r="K810" s="20" t="s">
        <v>3103</v>
      </c>
    </row>
    <row r="811" spans="1:11" ht="46" customHeight="1">
      <c r="A811" s="19">
        <v>807</v>
      </c>
      <c r="B811" s="19" t="s">
        <v>2392</v>
      </c>
      <c r="C811" s="20" t="s">
        <v>3092</v>
      </c>
      <c r="D811" s="20" t="s">
        <v>2394</v>
      </c>
      <c r="E811" s="21" t="s">
        <v>3093</v>
      </c>
      <c r="F811" s="20" t="s">
        <v>3094</v>
      </c>
      <c r="G811" s="19" t="s">
        <v>3104</v>
      </c>
      <c r="H811" s="21" t="s">
        <v>3105</v>
      </c>
      <c r="I811" s="21" t="s">
        <v>20</v>
      </c>
      <c r="J811" s="20" t="s">
        <v>2399</v>
      </c>
      <c r="K811" s="20" t="s">
        <v>3106</v>
      </c>
    </row>
    <row r="812" spans="1:11" ht="46" customHeight="1">
      <c r="A812" s="19">
        <v>808</v>
      </c>
      <c r="B812" s="19" t="s">
        <v>2392</v>
      </c>
      <c r="C812" s="20" t="s">
        <v>3092</v>
      </c>
      <c r="D812" s="20" t="s">
        <v>2394</v>
      </c>
      <c r="E812" s="21" t="s">
        <v>3093</v>
      </c>
      <c r="F812" s="20" t="s">
        <v>3094</v>
      </c>
      <c r="G812" s="19" t="s">
        <v>3107</v>
      </c>
      <c r="H812" s="21" t="s">
        <v>3108</v>
      </c>
      <c r="I812" s="21" t="s">
        <v>20</v>
      </c>
      <c r="J812" s="20" t="s">
        <v>2399</v>
      </c>
      <c r="K812" s="20" t="s">
        <v>3109</v>
      </c>
    </row>
    <row r="813" spans="1:11" ht="46" customHeight="1">
      <c r="A813" s="19">
        <v>809</v>
      </c>
      <c r="B813" s="19" t="s">
        <v>2392</v>
      </c>
      <c r="C813" s="20" t="s">
        <v>3092</v>
      </c>
      <c r="D813" s="20" t="s">
        <v>2394</v>
      </c>
      <c r="E813" s="21" t="s">
        <v>3093</v>
      </c>
      <c r="F813" s="20" t="s">
        <v>3094</v>
      </c>
      <c r="G813" s="19" t="s">
        <v>3110</v>
      </c>
      <c r="H813" s="21" t="s">
        <v>3111</v>
      </c>
      <c r="I813" s="21" t="s">
        <v>20</v>
      </c>
      <c r="J813" s="20" t="s">
        <v>2399</v>
      </c>
      <c r="K813" s="20" t="s">
        <v>3112</v>
      </c>
    </row>
    <row r="814" spans="1:11" ht="46" customHeight="1">
      <c r="A814" s="19">
        <v>810</v>
      </c>
      <c r="B814" s="19" t="s">
        <v>2392</v>
      </c>
      <c r="C814" s="20" t="s">
        <v>3113</v>
      </c>
      <c r="D814" s="20" t="s">
        <v>2394</v>
      </c>
      <c r="E814" s="21" t="s">
        <v>3114</v>
      </c>
      <c r="F814" s="20" t="s">
        <v>3115</v>
      </c>
      <c r="G814" s="19" t="s">
        <v>3116</v>
      </c>
      <c r="H814" s="21" t="s">
        <v>3117</v>
      </c>
      <c r="I814" s="21" t="s">
        <v>20</v>
      </c>
      <c r="J814" s="20" t="s">
        <v>2399</v>
      </c>
      <c r="K814" s="20" t="s">
        <v>3118</v>
      </c>
    </row>
    <row r="815" spans="1:11" ht="46" customHeight="1">
      <c r="A815" s="19">
        <v>811</v>
      </c>
      <c r="B815" s="19" t="s">
        <v>2392</v>
      </c>
      <c r="C815" s="20" t="s">
        <v>3113</v>
      </c>
      <c r="D815" s="20" t="s">
        <v>2394</v>
      </c>
      <c r="E815" s="21" t="s">
        <v>3114</v>
      </c>
      <c r="F815" s="20" t="s">
        <v>3115</v>
      </c>
      <c r="G815" s="19" t="s">
        <v>3119</v>
      </c>
      <c r="H815" s="21" t="s">
        <v>3120</v>
      </c>
      <c r="I815" s="21" t="s">
        <v>20</v>
      </c>
      <c r="J815" s="20" t="s">
        <v>2399</v>
      </c>
      <c r="K815" s="20" t="s">
        <v>3121</v>
      </c>
    </row>
    <row r="816" spans="1:11" ht="46" customHeight="1">
      <c r="A816" s="19">
        <v>812</v>
      </c>
      <c r="B816" s="19" t="s">
        <v>2392</v>
      </c>
      <c r="C816" s="20" t="s">
        <v>3113</v>
      </c>
      <c r="D816" s="20" t="s">
        <v>2394</v>
      </c>
      <c r="E816" s="21" t="s">
        <v>3114</v>
      </c>
      <c r="F816" s="20" t="s">
        <v>3115</v>
      </c>
      <c r="G816" s="19" t="s">
        <v>3122</v>
      </c>
      <c r="H816" s="21" t="s">
        <v>3123</v>
      </c>
      <c r="I816" s="21" t="s">
        <v>20</v>
      </c>
      <c r="J816" s="20" t="s">
        <v>2406</v>
      </c>
      <c r="K816" s="20" t="s">
        <v>3124</v>
      </c>
    </row>
    <row r="817" spans="1:11" ht="46" customHeight="1">
      <c r="A817" s="19">
        <v>813</v>
      </c>
      <c r="B817" s="19" t="s">
        <v>2392</v>
      </c>
      <c r="C817" s="20" t="s">
        <v>3113</v>
      </c>
      <c r="D817" s="20" t="s">
        <v>2394</v>
      </c>
      <c r="E817" s="21" t="s">
        <v>3114</v>
      </c>
      <c r="F817" s="20" t="s">
        <v>3115</v>
      </c>
      <c r="G817" s="19" t="s">
        <v>3125</v>
      </c>
      <c r="H817" s="21" t="s">
        <v>3126</v>
      </c>
      <c r="I817" s="21" t="s">
        <v>20</v>
      </c>
      <c r="J817" s="20" t="s">
        <v>2399</v>
      </c>
      <c r="K817" s="20" t="s">
        <v>3127</v>
      </c>
    </row>
    <row r="818" spans="1:11" ht="46" customHeight="1">
      <c r="A818" s="19">
        <v>814</v>
      </c>
      <c r="B818" s="19" t="s">
        <v>2392</v>
      </c>
      <c r="C818" s="20" t="s">
        <v>3113</v>
      </c>
      <c r="D818" s="20" t="s">
        <v>2394</v>
      </c>
      <c r="E818" s="21" t="s">
        <v>3114</v>
      </c>
      <c r="F818" s="20" t="s">
        <v>3115</v>
      </c>
      <c r="G818" s="19" t="s">
        <v>3128</v>
      </c>
      <c r="H818" s="21" t="s">
        <v>3129</v>
      </c>
      <c r="I818" s="21" t="s">
        <v>20</v>
      </c>
      <c r="J818" s="20" t="s">
        <v>2399</v>
      </c>
      <c r="K818" s="20" t="s">
        <v>3130</v>
      </c>
    </row>
    <row r="819" spans="1:11" ht="46" customHeight="1">
      <c r="A819" s="19">
        <v>815</v>
      </c>
      <c r="B819" s="19" t="s">
        <v>2392</v>
      </c>
      <c r="C819" s="20" t="s">
        <v>3113</v>
      </c>
      <c r="D819" s="20" t="s">
        <v>2394</v>
      </c>
      <c r="E819" s="21" t="s">
        <v>3114</v>
      </c>
      <c r="F819" s="20" t="s">
        <v>3115</v>
      </c>
      <c r="G819" s="19" t="s">
        <v>3131</v>
      </c>
      <c r="H819" s="21" t="s">
        <v>3132</v>
      </c>
      <c r="I819" s="21" t="s">
        <v>20</v>
      </c>
      <c r="J819" s="20" t="s">
        <v>2399</v>
      </c>
      <c r="K819" s="20" t="s">
        <v>3133</v>
      </c>
    </row>
    <row r="820" spans="1:11" ht="46" customHeight="1">
      <c r="A820" s="19">
        <v>816</v>
      </c>
      <c r="B820" s="19" t="s">
        <v>2392</v>
      </c>
      <c r="C820" s="20" t="s">
        <v>3134</v>
      </c>
      <c r="D820" s="20" t="s">
        <v>2394</v>
      </c>
      <c r="E820" s="21" t="s">
        <v>3135</v>
      </c>
      <c r="F820" s="20" t="s">
        <v>3136</v>
      </c>
      <c r="G820" s="19" t="s">
        <v>3137</v>
      </c>
      <c r="H820" s="21" t="s">
        <v>3138</v>
      </c>
      <c r="I820" s="21" t="s">
        <v>20</v>
      </c>
      <c r="J820" s="20" t="s">
        <v>2399</v>
      </c>
      <c r="K820" s="20" t="s">
        <v>3139</v>
      </c>
    </row>
    <row r="821" spans="1:11" ht="46" customHeight="1">
      <c r="A821" s="19">
        <v>817</v>
      </c>
      <c r="B821" s="19" t="s">
        <v>2392</v>
      </c>
      <c r="C821" s="20" t="s">
        <v>3134</v>
      </c>
      <c r="D821" s="20" t="s">
        <v>2394</v>
      </c>
      <c r="E821" s="21" t="s">
        <v>3135</v>
      </c>
      <c r="F821" s="20" t="s">
        <v>3136</v>
      </c>
      <c r="G821" s="19" t="s">
        <v>3140</v>
      </c>
      <c r="H821" s="21" t="s">
        <v>3141</v>
      </c>
      <c r="I821" s="21" t="s">
        <v>20</v>
      </c>
      <c r="J821" s="20" t="s">
        <v>2399</v>
      </c>
      <c r="K821" s="20" t="s">
        <v>3142</v>
      </c>
    </row>
    <row r="822" spans="1:11" ht="46" customHeight="1">
      <c r="A822" s="19">
        <v>818</v>
      </c>
      <c r="B822" s="19" t="s">
        <v>2392</v>
      </c>
      <c r="C822" s="20" t="s">
        <v>3134</v>
      </c>
      <c r="D822" s="20" t="s">
        <v>2394</v>
      </c>
      <c r="E822" s="21" t="s">
        <v>3135</v>
      </c>
      <c r="F822" s="20" t="s">
        <v>3136</v>
      </c>
      <c r="G822" s="19" t="s">
        <v>3143</v>
      </c>
      <c r="H822" s="21" t="s">
        <v>3144</v>
      </c>
      <c r="I822" s="21" t="s">
        <v>20</v>
      </c>
      <c r="J822" s="20" t="s">
        <v>2399</v>
      </c>
      <c r="K822" s="20" t="s">
        <v>3145</v>
      </c>
    </row>
    <row r="823" spans="1:11" ht="46" customHeight="1">
      <c r="A823" s="19">
        <v>819</v>
      </c>
      <c r="B823" s="19" t="s">
        <v>2392</v>
      </c>
      <c r="C823" s="20" t="s">
        <v>3134</v>
      </c>
      <c r="D823" s="20" t="s">
        <v>2394</v>
      </c>
      <c r="E823" s="21" t="s">
        <v>3135</v>
      </c>
      <c r="F823" s="20" t="s">
        <v>3136</v>
      </c>
      <c r="G823" s="19" t="s">
        <v>3146</v>
      </c>
      <c r="H823" s="21" t="s">
        <v>3147</v>
      </c>
      <c r="I823" s="21" t="s">
        <v>20</v>
      </c>
      <c r="J823" s="20" t="s">
        <v>2399</v>
      </c>
      <c r="K823" s="20" t="s">
        <v>3148</v>
      </c>
    </row>
    <row r="824" spans="1:11" ht="46" customHeight="1">
      <c r="A824" s="19">
        <v>820</v>
      </c>
      <c r="B824" s="19" t="s">
        <v>2392</v>
      </c>
      <c r="C824" s="20" t="s">
        <v>3134</v>
      </c>
      <c r="D824" s="20" t="s">
        <v>2394</v>
      </c>
      <c r="E824" s="21" t="s">
        <v>3135</v>
      </c>
      <c r="F824" s="20" t="s">
        <v>3136</v>
      </c>
      <c r="G824" s="19" t="s">
        <v>3149</v>
      </c>
      <c r="H824" s="21" t="s">
        <v>3150</v>
      </c>
      <c r="I824" s="21" t="s">
        <v>20</v>
      </c>
      <c r="J824" s="20" t="s">
        <v>2399</v>
      </c>
      <c r="K824" s="20" t="s">
        <v>3151</v>
      </c>
    </row>
    <row r="825" spans="1:11" ht="46" customHeight="1">
      <c r="A825" s="19">
        <v>821</v>
      </c>
      <c r="B825" s="19" t="s">
        <v>2392</v>
      </c>
      <c r="C825" s="20" t="s">
        <v>3134</v>
      </c>
      <c r="D825" s="20" t="s">
        <v>2394</v>
      </c>
      <c r="E825" s="21" t="s">
        <v>3135</v>
      </c>
      <c r="F825" s="20" t="s">
        <v>3136</v>
      </c>
      <c r="G825" s="19" t="s">
        <v>3152</v>
      </c>
      <c r="H825" s="21" t="s">
        <v>3153</v>
      </c>
      <c r="I825" s="21" t="s">
        <v>20</v>
      </c>
      <c r="J825" s="20" t="s">
        <v>2399</v>
      </c>
      <c r="K825" s="20" t="s">
        <v>3154</v>
      </c>
    </row>
    <row r="826" spans="1:11" ht="46" customHeight="1">
      <c r="A826" s="19">
        <v>822</v>
      </c>
      <c r="B826" s="19" t="s">
        <v>2392</v>
      </c>
      <c r="C826" s="20" t="s">
        <v>3155</v>
      </c>
      <c r="D826" s="20" t="s">
        <v>2394</v>
      </c>
      <c r="E826" s="21" t="s">
        <v>3156</v>
      </c>
      <c r="F826" s="20" t="s">
        <v>3157</v>
      </c>
      <c r="G826" s="19" t="s">
        <v>3158</v>
      </c>
      <c r="H826" s="21" t="s">
        <v>3159</v>
      </c>
      <c r="I826" s="21" t="s">
        <v>20</v>
      </c>
      <c r="J826" s="20" t="s">
        <v>2469</v>
      </c>
      <c r="K826" s="20" t="s">
        <v>3160</v>
      </c>
    </row>
    <row r="827" spans="1:11" ht="46" customHeight="1">
      <c r="A827" s="19">
        <v>823</v>
      </c>
      <c r="B827" s="19" t="s">
        <v>2392</v>
      </c>
      <c r="C827" s="20" t="s">
        <v>3155</v>
      </c>
      <c r="D827" s="20" t="s">
        <v>2394</v>
      </c>
      <c r="E827" s="21" t="s">
        <v>3156</v>
      </c>
      <c r="F827" s="20" t="s">
        <v>3157</v>
      </c>
      <c r="G827" s="19" t="s">
        <v>3161</v>
      </c>
      <c r="H827" s="21" t="s">
        <v>3162</v>
      </c>
      <c r="I827" s="21" t="s">
        <v>20</v>
      </c>
      <c r="J827" s="20" t="s">
        <v>2425</v>
      </c>
      <c r="K827" s="20" t="s">
        <v>3163</v>
      </c>
    </row>
    <row r="828" spans="1:11" ht="46" customHeight="1">
      <c r="A828" s="19">
        <v>824</v>
      </c>
      <c r="B828" s="19" t="s">
        <v>2392</v>
      </c>
      <c r="C828" s="20" t="s">
        <v>3155</v>
      </c>
      <c r="D828" s="20" t="s">
        <v>2394</v>
      </c>
      <c r="E828" s="21" t="s">
        <v>3156</v>
      </c>
      <c r="F828" s="20" t="s">
        <v>3157</v>
      </c>
      <c r="G828" s="19" t="s">
        <v>3164</v>
      </c>
      <c r="H828" s="21" t="s">
        <v>3165</v>
      </c>
      <c r="I828" s="21" t="s">
        <v>20</v>
      </c>
      <c r="J828" s="20" t="s">
        <v>2425</v>
      </c>
      <c r="K828" s="20" t="s">
        <v>3166</v>
      </c>
    </row>
    <row r="829" spans="1:11" ht="46" customHeight="1">
      <c r="A829" s="19">
        <v>825</v>
      </c>
      <c r="B829" s="19" t="s">
        <v>2392</v>
      </c>
      <c r="C829" s="20" t="s">
        <v>3155</v>
      </c>
      <c r="D829" s="20" t="s">
        <v>2394</v>
      </c>
      <c r="E829" s="21" t="s">
        <v>3156</v>
      </c>
      <c r="F829" s="20" t="s">
        <v>3157</v>
      </c>
      <c r="G829" s="19" t="s">
        <v>3167</v>
      </c>
      <c r="H829" s="21" t="s">
        <v>3168</v>
      </c>
      <c r="I829" s="21" t="s">
        <v>20</v>
      </c>
      <c r="J829" s="20" t="s">
        <v>2399</v>
      </c>
      <c r="K829" s="20" t="s">
        <v>3169</v>
      </c>
    </row>
    <row r="830" spans="1:11" ht="46" customHeight="1">
      <c r="A830" s="19">
        <v>826</v>
      </c>
      <c r="B830" s="19" t="s">
        <v>2392</v>
      </c>
      <c r="C830" s="20" t="s">
        <v>3155</v>
      </c>
      <c r="D830" s="20" t="s">
        <v>2394</v>
      </c>
      <c r="E830" s="21" t="s">
        <v>3156</v>
      </c>
      <c r="F830" s="20" t="s">
        <v>3157</v>
      </c>
      <c r="G830" s="19" t="s">
        <v>3170</v>
      </c>
      <c r="H830" s="21" t="s">
        <v>3171</v>
      </c>
      <c r="I830" s="21" t="s">
        <v>20</v>
      </c>
      <c r="J830" s="20" t="s">
        <v>2425</v>
      </c>
      <c r="K830" s="20" t="s">
        <v>3172</v>
      </c>
    </row>
    <row r="831" spans="1:11" ht="46" customHeight="1">
      <c r="A831" s="19">
        <v>827</v>
      </c>
      <c r="B831" s="19" t="s">
        <v>2392</v>
      </c>
      <c r="C831" s="20" t="s">
        <v>3155</v>
      </c>
      <c r="D831" s="20" t="s">
        <v>2394</v>
      </c>
      <c r="E831" s="21" t="s">
        <v>3156</v>
      </c>
      <c r="F831" s="20" t="s">
        <v>3157</v>
      </c>
      <c r="G831" s="19" t="s">
        <v>3173</v>
      </c>
      <c r="H831" s="21" t="s">
        <v>3174</v>
      </c>
      <c r="I831" s="21" t="s">
        <v>20</v>
      </c>
      <c r="J831" s="20" t="s">
        <v>2425</v>
      </c>
      <c r="K831" s="20" t="s">
        <v>3175</v>
      </c>
    </row>
  </sheetData>
  <mergeCells count="3">
    <mergeCell ref="A1:J1"/>
    <mergeCell ref="A2:J2"/>
    <mergeCell ref="A3:J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showGridLines="0" topLeftCell="A43" workbookViewId="0">
      <selection sqref="A1:F1"/>
    </sheetView>
  </sheetViews>
  <sheetFormatPr defaultRowHeight="14"/>
  <cols>
    <col min="1" max="1" width="12" customWidth="1"/>
    <col min="2" max="2" width="52" customWidth="1"/>
    <col min="3" max="3" width="20" customWidth="1"/>
    <col min="4" max="5" width="15" customWidth="1"/>
    <col min="6" max="6" width="18" customWidth="1"/>
  </cols>
  <sheetData>
    <row r="1" spans="1:6">
      <c r="A1" s="37" t="s">
        <v>3176</v>
      </c>
      <c r="B1" s="37"/>
      <c r="C1" s="37"/>
      <c r="D1" s="37"/>
      <c r="E1" s="37"/>
      <c r="F1" s="37"/>
    </row>
    <row r="2" spans="1:6">
      <c r="A2" s="38" t="s">
        <v>3177</v>
      </c>
      <c r="B2" s="38"/>
      <c r="C2" s="38"/>
      <c r="D2" s="38"/>
      <c r="E2" s="38"/>
      <c r="F2" s="38"/>
    </row>
    <row r="3" spans="1:6">
      <c r="A3" s="1"/>
      <c r="B3" s="1"/>
      <c r="C3" s="1"/>
      <c r="D3" s="1"/>
      <c r="E3" s="1"/>
      <c r="F3" s="1"/>
    </row>
    <row r="4" spans="1:6" ht="34" customHeight="1">
      <c r="A4" s="22" t="s">
        <v>37</v>
      </c>
      <c r="B4" s="23" t="s">
        <v>38</v>
      </c>
      <c r="C4" s="23" t="s">
        <v>3178</v>
      </c>
      <c r="D4" s="23" t="s">
        <v>3179</v>
      </c>
      <c r="E4" s="23" t="s">
        <v>3180</v>
      </c>
      <c r="F4" s="24" t="s">
        <v>3181</v>
      </c>
    </row>
    <row r="5" spans="1:6">
      <c r="A5" s="25" t="s">
        <v>47</v>
      </c>
      <c r="B5" s="10" t="s">
        <v>48</v>
      </c>
      <c r="C5" s="10" t="s">
        <v>3182</v>
      </c>
      <c r="D5" s="11">
        <f>COUNTIFS('827 Field Register'!$B$5:$B$831,A5,'827 Field Register'!$C$5:$C$831,B5)</f>
        <v>25</v>
      </c>
      <c r="E5" s="26">
        <f t="shared" ref="E5:E36" si="0">D5/827</f>
        <v>3.0229746070133012E-2</v>
      </c>
      <c r="F5" s="27" t="e">
        <f>INDEX('827 Field Register'!$G$5:$G$831,MATCH(1,('827 Field Register'!$B$5:$B$831=A5)*('827 Field Register'!$C$5:$C$831=B5),0))</f>
        <v>#N/A</v>
      </c>
    </row>
    <row r="6" spans="1:6">
      <c r="A6" s="25" t="s">
        <v>146</v>
      </c>
      <c r="B6" s="10" t="s">
        <v>147</v>
      </c>
      <c r="C6" s="10" t="s">
        <v>3182</v>
      </c>
      <c r="D6" s="11">
        <f>COUNTIFS('827 Field Register'!$B$5:$B$831,A6,'827 Field Register'!$C$5:$C$831,B6)</f>
        <v>25</v>
      </c>
      <c r="E6" s="26">
        <f t="shared" si="0"/>
        <v>3.0229746070133012E-2</v>
      </c>
      <c r="F6" s="27" t="e">
        <f>INDEX('827 Field Register'!$G$5:$G$831,MATCH(1,('827 Field Register'!$B$5:$B$831=A6)*('827 Field Register'!$C$5:$C$831=B6),0))</f>
        <v>#N/A</v>
      </c>
    </row>
    <row r="7" spans="1:6">
      <c r="A7" s="25" t="s">
        <v>243</v>
      </c>
      <c r="B7" s="10" t="s">
        <v>244</v>
      </c>
      <c r="C7" s="10" t="s">
        <v>3182</v>
      </c>
      <c r="D7" s="11">
        <f>COUNTIFS('827 Field Register'!$B$5:$B$831,A7,'827 Field Register'!$C$5:$C$831,B7)</f>
        <v>23</v>
      </c>
      <c r="E7" s="26">
        <f t="shared" si="0"/>
        <v>2.7811366384522369E-2</v>
      </c>
      <c r="F7" s="27" t="e">
        <f>INDEX('827 Field Register'!$G$5:$G$831,MATCH(1,('827 Field Register'!$B$5:$B$831=A7)*('827 Field Register'!$C$5:$C$831=B7),0))</f>
        <v>#N/A</v>
      </c>
    </row>
    <row r="8" spans="1:6">
      <c r="A8" s="25" t="s">
        <v>334</v>
      </c>
      <c r="B8" s="10" t="s">
        <v>335</v>
      </c>
      <c r="C8" s="10" t="s">
        <v>3182</v>
      </c>
      <c r="D8" s="11">
        <f>COUNTIFS('827 Field Register'!$B$5:$B$831,A8,'827 Field Register'!$C$5:$C$831,B8)</f>
        <v>22</v>
      </c>
      <c r="E8" s="26">
        <f t="shared" si="0"/>
        <v>2.6602176541717048E-2</v>
      </c>
      <c r="F8" s="27" t="e">
        <f>INDEX('827 Field Register'!$G$5:$G$831,MATCH(1,('827 Field Register'!$B$5:$B$831=A8)*('827 Field Register'!$C$5:$C$831=B8),0))</f>
        <v>#N/A</v>
      </c>
    </row>
    <row r="9" spans="1:6">
      <c r="A9" s="25" t="s">
        <v>422</v>
      </c>
      <c r="B9" s="10" t="s">
        <v>423</v>
      </c>
      <c r="C9" s="10" t="s">
        <v>3182</v>
      </c>
      <c r="D9" s="11">
        <f>COUNTIFS('827 Field Register'!$B$5:$B$831,A9,'827 Field Register'!$C$5:$C$831,B9)</f>
        <v>19</v>
      </c>
      <c r="E9" s="26">
        <f t="shared" si="0"/>
        <v>2.2974607013301087E-2</v>
      </c>
      <c r="F9" s="27" t="e">
        <f>INDEX('827 Field Register'!$G$5:$G$831,MATCH(1,('827 Field Register'!$B$5:$B$831=A9)*('827 Field Register'!$C$5:$C$831=B9),0))</f>
        <v>#N/A</v>
      </c>
    </row>
    <row r="10" spans="1:6">
      <c r="A10" s="25" t="s">
        <v>500</v>
      </c>
      <c r="B10" s="10" t="s">
        <v>501</v>
      </c>
      <c r="C10" s="10" t="s">
        <v>3182</v>
      </c>
      <c r="D10" s="11">
        <f>COUNTIFS('827 Field Register'!$B$5:$B$831,A10,'827 Field Register'!$C$5:$C$831,B10)</f>
        <v>30</v>
      </c>
      <c r="E10" s="26">
        <f t="shared" si="0"/>
        <v>3.6275695284159616E-2</v>
      </c>
      <c r="F10" s="27" t="e">
        <f>INDEX('827 Field Register'!$G$5:$G$831,MATCH(1,('827 Field Register'!$B$5:$B$831=A10)*('827 Field Register'!$C$5:$C$831=B10),0))</f>
        <v>#N/A</v>
      </c>
    </row>
    <row r="11" spans="1:6">
      <c r="A11" s="25" t="s">
        <v>616</v>
      </c>
      <c r="B11" s="10" t="s">
        <v>617</v>
      </c>
      <c r="C11" s="10" t="s">
        <v>3182</v>
      </c>
      <c r="D11" s="11">
        <f>COUNTIFS('827 Field Register'!$B$5:$B$831,A11,'827 Field Register'!$C$5:$C$831,B11)</f>
        <v>33</v>
      </c>
      <c r="E11" s="26">
        <f t="shared" si="0"/>
        <v>3.9903264812575577E-2</v>
      </c>
      <c r="F11" s="27" t="e">
        <f>INDEX('827 Field Register'!$G$5:$G$831,MATCH(1,('827 Field Register'!$B$5:$B$831=A11)*('827 Field Register'!$C$5:$C$831=B11),0))</f>
        <v>#N/A</v>
      </c>
    </row>
    <row r="12" spans="1:6">
      <c r="A12" s="25" t="s">
        <v>741</v>
      </c>
      <c r="B12" s="10" t="s">
        <v>742</v>
      </c>
      <c r="C12" s="10" t="s">
        <v>3182</v>
      </c>
      <c r="D12" s="11">
        <f>COUNTIFS('827 Field Register'!$B$5:$B$831,A12,'827 Field Register'!$C$5:$C$831,B12)</f>
        <v>94</v>
      </c>
      <c r="E12" s="26">
        <f t="shared" si="0"/>
        <v>0.11366384522370013</v>
      </c>
      <c r="F12" s="27" t="e">
        <f>INDEX('827 Field Register'!$G$5:$G$831,MATCH(1,('827 Field Register'!$B$5:$B$831=A12)*('827 Field Register'!$C$5:$C$831=B12),0))</f>
        <v>#N/A</v>
      </c>
    </row>
    <row r="13" spans="1:6">
      <c r="A13" s="25" t="s">
        <v>1107</v>
      </c>
      <c r="B13" s="10" t="s">
        <v>1108</v>
      </c>
      <c r="C13" s="10" t="s">
        <v>3182</v>
      </c>
      <c r="D13" s="11">
        <f>COUNTIFS('827 Field Register'!$B$5:$B$831,A13,'827 Field Register'!$C$5:$C$831,B13)</f>
        <v>26</v>
      </c>
      <c r="E13" s="26">
        <f t="shared" si="0"/>
        <v>3.143893591293833E-2</v>
      </c>
      <c r="F13" s="27" t="e">
        <f>INDEX('827 Field Register'!$G$5:$G$831,MATCH(1,('827 Field Register'!$B$5:$B$831=A13)*('827 Field Register'!$C$5:$C$831=B13),0))</f>
        <v>#N/A</v>
      </c>
    </row>
    <row r="14" spans="1:6">
      <c r="A14" s="25" t="s">
        <v>1201</v>
      </c>
      <c r="B14" s="10" t="s">
        <v>1202</v>
      </c>
      <c r="C14" s="10" t="s">
        <v>3182</v>
      </c>
      <c r="D14" s="11">
        <f>COUNTIFS('827 Field Register'!$B$5:$B$831,A14,'827 Field Register'!$C$5:$C$831,B14)</f>
        <v>30</v>
      </c>
      <c r="E14" s="26">
        <f t="shared" si="0"/>
        <v>3.6275695284159616E-2</v>
      </c>
      <c r="F14" s="27" t="e">
        <f>INDEX('827 Field Register'!$G$5:$G$831,MATCH(1,('827 Field Register'!$B$5:$B$831=A14)*('827 Field Register'!$C$5:$C$831=B14),0))</f>
        <v>#N/A</v>
      </c>
    </row>
    <row r="15" spans="1:6">
      <c r="A15" s="25" t="s">
        <v>1316</v>
      </c>
      <c r="B15" s="10" t="s">
        <v>1317</v>
      </c>
      <c r="C15" s="10" t="s">
        <v>3182</v>
      </c>
      <c r="D15" s="11">
        <f>COUNTIFS('827 Field Register'!$B$5:$B$831,A15,'827 Field Register'!$C$5:$C$831,B15)</f>
        <v>24</v>
      </c>
      <c r="E15" s="26">
        <f t="shared" si="0"/>
        <v>2.9020556227327691E-2</v>
      </c>
      <c r="F15" s="27" t="e">
        <f>INDEX('827 Field Register'!$G$5:$G$831,MATCH(1,('827 Field Register'!$B$5:$B$831=A15)*('827 Field Register'!$C$5:$C$831=B15),0))</f>
        <v>#N/A</v>
      </c>
    </row>
    <row r="16" spans="1:6">
      <c r="A16" s="25" t="s">
        <v>1404</v>
      </c>
      <c r="B16" s="10" t="s">
        <v>1405</v>
      </c>
      <c r="C16" s="10" t="s">
        <v>3182</v>
      </c>
      <c r="D16" s="11">
        <f>COUNTIFS('827 Field Register'!$B$5:$B$831,A16,'827 Field Register'!$C$5:$C$831,B16)</f>
        <v>29</v>
      </c>
      <c r="E16" s="26">
        <f t="shared" si="0"/>
        <v>3.5066505441354291E-2</v>
      </c>
      <c r="F16" s="27" t="e">
        <f>INDEX('827 Field Register'!$G$5:$G$831,MATCH(1,('827 Field Register'!$B$5:$B$831=A16)*('827 Field Register'!$C$5:$C$831=B16),0))</f>
        <v>#N/A</v>
      </c>
    </row>
    <row r="17" spans="1:6">
      <c r="A17" s="25" t="s">
        <v>1519</v>
      </c>
      <c r="B17" s="10" t="s">
        <v>1520</v>
      </c>
      <c r="C17" s="10" t="s">
        <v>3182</v>
      </c>
      <c r="D17" s="11">
        <f>COUNTIFS('827 Field Register'!$B$5:$B$831,A17,'827 Field Register'!$C$5:$C$831,B17)</f>
        <v>25</v>
      </c>
      <c r="E17" s="26">
        <f t="shared" si="0"/>
        <v>3.0229746070133012E-2</v>
      </c>
      <c r="F17" s="27" t="e">
        <f>INDEX('827 Field Register'!$G$5:$G$831,MATCH(1,('827 Field Register'!$B$5:$B$831=A17)*('827 Field Register'!$C$5:$C$831=B17),0))</f>
        <v>#N/A</v>
      </c>
    </row>
    <row r="18" spans="1:6">
      <c r="A18" s="25" t="s">
        <v>1615</v>
      </c>
      <c r="B18" s="10" t="s">
        <v>1616</v>
      </c>
      <c r="C18" s="10" t="s">
        <v>3182</v>
      </c>
      <c r="D18" s="11">
        <f>COUNTIFS('827 Field Register'!$B$5:$B$831,A18,'827 Field Register'!$C$5:$C$831,B18)</f>
        <v>22</v>
      </c>
      <c r="E18" s="26">
        <f t="shared" si="0"/>
        <v>2.6602176541717048E-2</v>
      </c>
      <c r="F18" s="27" t="e">
        <f>INDEX('827 Field Register'!$G$5:$G$831,MATCH(1,('827 Field Register'!$B$5:$B$831=A18)*('827 Field Register'!$C$5:$C$831=B18),0))</f>
        <v>#N/A</v>
      </c>
    </row>
    <row r="19" spans="1:6">
      <c r="A19" s="25" t="s">
        <v>1701</v>
      </c>
      <c r="B19" s="10" t="s">
        <v>1702</v>
      </c>
      <c r="C19" s="10" t="s">
        <v>3182</v>
      </c>
      <c r="D19" s="11">
        <f>COUNTIFS('827 Field Register'!$B$5:$B$831,A19,'827 Field Register'!$C$5:$C$831,B19)</f>
        <v>24</v>
      </c>
      <c r="E19" s="26">
        <f t="shared" si="0"/>
        <v>2.9020556227327691E-2</v>
      </c>
      <c r="F19" s="27" t="e">
        <f>INDEX('827 Field Register'!$G$5:$G$831,MATCH(1,('827 Field Register'!$B$5:$B$831=A19)*('827 Field Register'!$C$5:$C$831=B19),0))</f>
        <v>#N/A</v>
      </c>
    </row>
    <row r="20" spans="1:6">
      <c r="A20" s="25" t="s">
        <v>1794</v>
      </c>
      <c r="B20" s="10" t="s">
        <v>1795</v>
      </c>
      <c r="C20" s="10" t="s">
        <v>3182</v>
      </c>
      <c r="D20" s="11">
        <f>COUNTIFS('827 Field Register'!$B$5:$B$831,A20,'827 Field Register'!$C$5:$C$831,B20)</f>
        <v>25</v>
      </c>
      <c r="E20" s="26">
        <f t="shared" si="0"/>
        <v>3.0229746070133012E-2</v>
      </c>
      <c r="F20" s="27" t="e">
        <f>INDEX('827 Field Register'!$G$5:$G$831,MATCH(1,('827 Field Register'!$B$5:$B$831=A20)*('827 Field Register'!$C$5:$C$831=B20),0))</f>
        <v>#N/A</v>
      </c>
    </row>
    <row r="21" spans="1:6">
      <c r="A21" s="25" t="s">
        <v>1892</v>
      </c>
      <c r="B21" s="10" t="s">
        <v>1893</v>
      </c>
      <c r="C21" s="10" t="s">
        <v>3182</v>
      </c>
      <c r="D21" s="11">
        <f>COUNTIFS('827 Field Register'!$B$5:$B$831,A21,'827 Field Register'!$C$5:$C$831,B21)</f>
        <v>30</v>
      </c>
      <c r="E21" s="26">
        <f t="shared" si="0"/>
        <v>3.6275695284159616E-2</v>
      </c>
      <c r="F21" s="27" t="e">
        <f>INDEX('827 Field Register'!$G$5:$G$831,MATCH(1,('827 Field Register'!$B$5:$B$831=A21)*('827 Field Register'!$C$5:$C$831=B21),0))</f>
        <v>#N/A</v>
      </c>
    </row>
    <row r="22" spans="1:6">
      <c r="A22" s="25" t="s">
        <v>2008</v>
      </c>
      <c r="B22" s="10" t="s">
        <v>2009</v>
      </c>
      <c r="C22" s="10" t="s">
        <v>3182</v>
      </c>
      <c r="D22" s="11">
        <f>COUNTIFS('827 Field Register'!$B$5:$B$831,A22,'827 Field Register'!$C$5:$C$831,B22)</f>
        <v>25</v>
      </c>
      <c r="E22" s="26">
        <f t="shared" si="0"/>
        <v>3.0229746070133012E-2</v>
      </c>
      <c r="F22" s="27" t="e">
        <f>INDEX('827 Field Register'!$G$5:$G$831,MATCH(1,('827 Field Register'!$B$5:$B$831=A22)*('827 Field Register'!$C$5:$C$831=B22),0))</f>
        <v>#N/A</v>
      </c>
    </row>
    <row r="23" spans="1:6">
      <c r="A23" s="25" t="s">
        <v>2105</v>
      </c>
      <c r="B23" s="10" t="s">
        <v>2106</v>
      </c>
      <c r="C23" s="10" t="s">
        <v>3182</v>
      </c>
      <c r="D23" s="11">
        <f>COUNTIFS('827 Field Register'!$B$5:$B$831,A23,'827 Field Register'!$C$5:$C$831,B23)</f>
        <v>34</v>
      </c>
      <c r="E23" s="26">
        <f t="shared" si="0"/>
        <v>4.1112454655380895E-2</v>
      </c>
      <c r="F23" s="27" t="e">
        <f>INDEX('827 Field Register'!$G$5:$G$831,MATCH(1,('827 Field Register'!$B$5:$B$831=A23)*('827 Field Register'!$C$5:$C$831=B23),0))</f>
        <v>#N/A</v>
      </c>
    </row>
    <row r="24" spans="1:6">
      <c r="A24" s="25" t="s">
        <v>2238</v>
      </c>
      <c r="B24" s="10" t="s">
        <v>2239</v>
      </c>
      <c r="C24" s="10" t="s">
        <v>3182</v>
      </c>
      <c r="D24" s="11">
        <f>COUNTIFS('827 Field Register'!$B$5:$B$831,A24,'827 Field Register'!$C$5:$C$831,B24)</f>
        <v>25</v>
      </c>
      <c r="E24" s="26">
        <f t="shared" si="0"/>
        <v>3.0229746070133012E-2</v>
      </c>
      <c r="F24" s="27" t="e">
        <f>INDEX('827 Field Register'!$G$5:$G$831,MATCH(1,('827 Field Register'!$B$5:$B$831=A24)*('827 Field Register'!$C$5:$C$831=B24),0))</f>
        <v>#N/A</v>
      </c>
    </row>
    <row r="25" spans="1:6">
      <c r="A25" s="25" t="s">
        <v>2338</v>
      </c>
      <c r="B25" s="10" t="s">
        <v>2339</v>
      </c>
      <c r="C25" s="10" t="s">
        <v>3182</v>
      </c>
      <c r="D25" s="11">
        <f>COUNTIFS('827 Field Register'!$B$5:$B$831,A25,'827 Field Register'!$C$5:$C$831,B25)</f>
        <v>15</v>
      </c>
      <c r="E25" s="26">
        <f t="shared" si="0"/>
        <v>1.8137847642079808E-2</v>
      </c>
      <c r="F25" s="27" t="e">
        <f>INDEX('827 Field Register'!$G$5:$G$831,MATCH(1,('827 Field Register'!$B$5:$B$831=A25)*('827 Field Register'!$C$5:$C$831=B25),0))</f>
        <v>#N/A</v>
      </c>
    </row>
    <row r="26" spans="1:6">
      <c r="A26" s="25" t="s">
        <v>2392</v>
      </c>
      <c r="B26" s="10" t="s">
        <v>2393</v>
      </c>
      <c r="C26" s="10" t="s">
        <v>3183</v>
      </c>
      <c r="D26" s="11">
        <f>COUNTIFS('827 Field Register'!$B$5:$B$831,A26,'827 Field Register'!$C$5:$C$831,B26)</f>
        <v>6</v>
      </c>
      <c r="E26" s="26">
        <f t="shared" si="0"/>
        <v>7.2551390568319227E-3</v>
      </c>
      <c r="F26" s="27" t="e">
        <f>INDEX('827 Field Register'!$G$5:$G$831,MATCH(1,('827 Field Register'!$B$5:$B$831=A26)*('827 Field Register'!$C$5:$C$831=B26),0))</f>
        <v>#N/A</v>
      </c>
    </row>
    <row r="27" spans="1:6">
      <c r="A27" s="25" t="s">
        <v>2392</v>
      </c>
      <c r="B27" s="10" t="s">
        <v>2417</v>
      </c>
      <c r="C27" s="10" t="s">
        <v>3183</v>
      </c>
      <c r="D27" s="11">
        <f>COUNTIFS('827 Field Register'!$B$5:$B$831,A27,'827 Field Register'!$C$5:$C$831,B27)</f>
        <v>6</v>
      </c>
      <c r="E27" s="26">
        <f t="shared" si="0"/>
        <v>7.2551390568319227E-3</v>
      </c>
      <c r="F27" s="27" t="e">
        <f>INDEX('827 Field Register'!$G$5:$G$831,MATCH(1,('827 Field Register'!$B$5:$B$831=A27)*('827 Field Register'!$C$5:$C$831=B27),0))</f>
        <v>#N/A</v>
      </c>
    </row>
    <row r="28" spans="1:6">
      <c r="A28" s="25" t="s">
        <v>2392</v>
      </c>
      <c r="B28" s="10" t="s">
        <v>2439</v>
      </c>
      <c r="C28" s="10" t="s">
        <v>3183</v>
      </c>
      <c r="D28" s="11">
        <f>COUNTIFS('827 Field Register'!$B$5:$B$831,A28,'827 Field Register'!$C$5:$C$831,B28)</f>
        <v>6</v>
      </c>
      <c r="E28" s="26">
        <f t="shared" si="0"/>
        <v>7.2551390568319227E-3</v>
      </c>
      <c r="F28" s="27" t="e">
        <f>INDEX('827 Field Register'!$G$5:$G$831,MATCH(1,('827 Field Register'!$B$5:$B$831=A28)*('827 Field Register'!$C$5:$C$831=B28),0))</f>
        <v>#N/A</v>
      </c>
    </row>
    <row r="29" spans="1:6">
      <c r="A29" s="25" t="s">
        <v>2392</v>
      </c>
      <c r="B29" s="10" t="s">
        <v>2461</v>
      </c>
      <c r="C29" s="10" t="s">
        <v>3183</v>
      </c>
      <c r="D29" s="11">
        <f>COUNTIFS('827 Field Register'!$B$5:$B$831,A29,'827 Field Register'!$C$5:$C$831,B29)</f>
        <v>6</v>
      </c>
      <c r="E29" s="26">
        <f t="shared" si="0"/>
        <v>7.2551390568319227E-3</v>
      </c>
      <c r="F29" s="27" t="e">
        <f>INDEX('827 Field Register'!$G$5:$G$831,MATCH(1,('827 Field Register'!$B$5:$B$831=A29)*('827 Field Register'!$C$5:$C$831=B29),0))</f>
        <v>#N/A</v>
      </c>
    </row>
    <row r="30" spans="1:6">
      <c r="A30" s="25" t="s">
        <v>2392</v>
      </c>
      <c r="B30" s="10" t="s">
        <v>2483</v>
      </c>
      <c r="C30" s="10" t="s">
        <v>3183</v>
      </c>
      <c r="D30" s="11">
        <f>COUNTIFS('827 Field Register'!$B$5:$B$831,A30,'827 Field Register'!$C$5:$C$831,B30)</f>
        <v>6</v>
      </c>
      <c r="E30" s="26">
        <f t="shared" si="0"/>
        <v>7.2551390568319227E-3</v>
      </c>
      <c r="F30" s="27" t="e">
        <f>INDEX('827 Field Register'!$G$5:$G$831,MATCH(1,('827 Field Register'!$B$5:$B$831=A30)*('827 Field Register'!$C$5:$C$831=B30),0))</f>
        <v>#N/A</v>
      </c>
    </row>
    <row r="31" spans="1:6">
      <c r="A31" s="25" t="s">
        <v>2392</v>
      </c>
      <c r="B31" s="10" t="s">
        <v>2504</v>
      </c>
      <c r="C31" s="10" t="s">
        <v>3183</v>
      </c>
      <c r="D31" s="11">
        <f>COUNTIFS('827 Field Register'!$B$5:$B$831,A31,'827 Field Register'!$C$5:$C$831,B31)</f>
        <v>6</v>
      </c>
      <c r="E31" s="26">
        <f t="shared" si="0"/>
        <v>7.2551390568319227E-3</v>
      </c>
      <c r="F31" s="27" t="e">
        <f>INDEX('827 Field Register'!$G$5:$G$831,MATCH(1,('827 Field Register'!$B$5:$B$831=A31)*('827 Field Register'!$C$5:$C$831=B31),0))</f>
        <v>#N/A</v>
      </c>
    </row>
    <row r="32" spans="1:6">
      <c r="A32" s="25" t="s">
        <v>2392</v>
      </c>
      <c r="B32" s="10" t="s">
        <v>2525</v>
      </c>
      <c r="C32" s="10" t="s">
        <v>3183</v>
      </c>
      <c r="D32" s="11">
        <f>COUNTIFS('827 Field Register'!$B$5:$B$831,A32,'827 Field Register'!$C$5:$C$831,B32)</f>
        <v>6</v>
      </c>
      <c r="E32" s="26">
        <f t="shared" si="0"/>
        <v>7.2551390568319227E-3</v>
      </c>
      <c r="F32" s="27" t="e">
        <f>INDEX('827 Field Register'!$G$5:$G$831,MATCH(1,('827 Field Register'!$B$5:$B$831=A32)*('827 Field Register'!$C$5:$C$831=B32),0))</f>
        <v>#N/A</v>
      </c>
    </row>
    <row r="33" spans="1:6">
      <c r="A33" s="25" t="s">
        <v>2392</v>
      </c>
      <c r="B33" s="10" t="s">
        <v>2546</v>
      </c>
      <c r="C33" s="10" t="s">
        <v>3183</v>
      </c>
      <c r="D33" s="11">
        <f>COUNTIFS('827 Field Register'!$B$5:$B$831,A33,'827 Field Register'!$C$5:$C$831,B33)</f>
        <v>6</v>
      </c>
      <c r="E33" s="26">
        <f t="shared" si="0"/>
        <v>7.2551390568319227E-3</v>
      </c>
      <c r="F33" s="27" t="e">
        <f>INDEX('827 Field Register'!$G$5:$G$831,MATCH(1,('827 Field Register'!$B$5:$B$831=A33)*('827 Field Register'!$C$5:$C$831=B33),0))</f>
        <v>#N/A</v>
      </c>
    </row>
    <row r="34" spans="1:6">
      <c r="A34" s="25" t="s">
        <v>2392</v>
      </c>
      <c r="B34" s="10" t="s">
        <v>2567</v>
      </c>
      <c r="C34" s="10" t="s">
        <v>3183</v>
      </c>
      <c r="D34" s="11">
        <f>COUNTIFS('827 Field Register'!$B$5:$B$831,A34,'827 Field Register'!$C$5:$C$831,B34)</f>
        <v>6</v>
      </c>
      <c r="E34" s="26">
        <f t="shared" si="0"/>
        <v>7.2551390568319227E-3</v>
      </c>
      <c r="F34" s="27" t="e">
        <f>INDEX('827 Field Register'!$G$5:$G$831,MATCH(1,('827 Field Register'!$B$5:$B$831=A34)*('827 Field Register'!$C$5:$C$831=B34),0))</f>
        <v>#N/A</v>
      </c>
    </row>
    <row r="35" spans="1:6">
      <c r="A35" s="25" t="s">
        <v>2392</v>
      </c>
      <c r="B35" s="10" t="s">
        <v>2588</v>
      </c>
      <c r="C35" s="10" t="s">
        <v>3183</v>
      </c>
      <c r="D35" s="11">
        <f>COUNTIFS('827 Field Register'!$B$5:$B$831,A35,'827 Field Register'!$C$5:$C$831,B35)</f>
        <v>6</v>
      </c>
      <c r="E35" s="26">
        <f t="shared" si="0"/>
        <v>7.2551390568319227E-3</v>
      </c>
      <c r="F35" s="27" t="e">
        <f>INDEX('827 Field Register'!$G$5:$G$831,MATCH(1,('827 Field Register'!$B$5:$B$831=A35)*('827 Field Register'!$C$5:$C$831=B35),0))</f>
        <v>#N/A</v>
      </c>
    </row>
    <row r="36" spans="1:6">
      <c r="A36" s="25" t="s">
        <v>2392</v>
      </c>
      <c r="B36" s="10" t="s">
        <v>2609</v>
      </c>
      <c r="C36" s="10" t="s">
        <v>3183</v>
      </c>
      <c r="D36" s="11">
        <f>COUNTIFS('827 Field Register'!$B$5:$B$831,A36,'827 Field Register'!$C$5:$C$831,B36)</f>
        <v>6</v>
      </c>
      <c r="E36" s="26">
        <f t="shared" si="0"/>
        <v>7.2551390568319227E-3</v>
      </c>
      <c r="F36" s="27" t="e">
        <f>INDEX('827 Field Register'!$G$5:$G$831,MATCH(1,('827 Field Register'!$B$5:$B$831=A36)*('827 Field Register'!$C$5:$C$831=B36),0))</f>
        <v>#N/A</v>
      </c>
    </row>
    <row r="37" spans="1:6">
      <c r="A37" s="25" t="s">
        <v>2392</v>
      </c>
      <c r="B37" s="10" t="s">
        <v>2630</v>
      </c>
      <c r="C37" s="10" t="s">
        <v>3183</v>
      </c>
      <c r="D37" s="11">
        <f>COUNTIFS('827 Field Register'!$B$5:$B$831,A37,'827 Field Register'!$C$5:$C$831,B37)</f>
        <v>6</v>
      </c>
      <c r="E37" s="26">
        <f t="shared" ref="E37:E68" si="1">D37/827</f>
        <v>7.2551390568319227E-3</v>
      </c>
      <c r="F37" s="27" t="e">
        <f>INDEX('827 Field Register'!$G$5:$G$831,MATCH(1,('827 Field Register'!$B$5:$B$831=A37)*('827 Field Register'!$C$5:$C$831=B37),0))</f>
        <v>#N/A</v>
      </c>
    </row>
    <row r="38" spans="1:6">
      <c r="A38" s="25" t="s">
        <v>2392</v>
      </c>
      <c r="B38" s="10" t="s">
        <v>2651</v>
      </c>
      <c r="C38" s="10" t="s">
        <v>3183</v>
      </c>
      <c r="D38" s="11">
        <f>COUNTIFS('827 Field Register'!$B$5:$B$831,A38,'827 Field Register'!$C$5:$C$831,B38)</f>
        <v>6</v>
      </c>
      <c r="E38" s="26">
        <f t="shared" si="1"/>
        <v>7.2551390568319227E-3</v>
      </c>
      <c r="F38" s="27" t="e">
        <f>INDEX('827 Field Register'!$G$5:$G$831,MATCH(1,('827 Field Register'!$B$5:$B$831=A38)*('827 Field Register'!$C$5:$C$831=B38),0))</f>
        <v>#N/A</v>
      </c>
    </row>
    <row r="39" spans="1:6">
      <c r="A39" s="25" t="s">
        <v>2392</v>
      </c>
      <c r="B39" s="10" t="s">
        <v>2672</v>
      </c>
      <c r="C39" s="10" t="s">
        <v>3183</v>
      </c>
      <c r="D39" s="11">
        <f>COUNTIFS('827 Field Register'!$B$5:$B$831,A39,'827 Field Register'!$C$5:$C$831,B39)</f>
        <v>6</v>
      </c>
      <c r="E39" s="26">
        <f t="shared" si="1"/>
        <v>7.2551390568319227E-3</v>
      </c>
      <c r="F39" s="27" t="e">
        <f>INDEX('827 Field Register'!$G$5:$G$831,MATCH(1,('827 Field Register'!$B$5:$B$831=A39)*('827 Field Register'!$C$5:$C$831=B39),0))</f>
        <v>#N/A</v>
      </c>
    </row>
    <row r="40" spans="1:6">
      <c r="A40" s="25" t="s">
        <v>2392</v>
      </c>
      <c r="B40" s="10" t="s">
        <v>2693</v>
      </c>
      <c r="C40" s="10" t="s">
        <v>3183</v>
      </c>
      <c r="D40" s="11">
        <f>COUNTIFS('827 Field Register'!$B$5:$B$831,A40,'827 Field Register'!$C$5:$C$831,B40)</f>
        <v>6</v>
      </c>
      <c r="E40" s="26">
        <f t="shared" si="1"/>
        <v>7.2551390568319227E-3</v>
      </c>
      <c r="F40" s="27" t="e">
        <f>INDEX('827 Field Register'!$G$5:$G$831,MATCH(1,('827 Field Register'!$B$5:$B$831=A40)*('827 Field Register'!$C$5:$C$831=B40),0))</f>
        <v>#N/A</v>
      </c>
    </row>
    <row r="41" spans="1:6">
      <c r="A41" s="25" t="s">
        <v>2392</v>
      </c>
      <c r="B41" s="10" t="s">
        <v>2715</v>
      </c>
      <c r="C41" s="10" t="s">
        <v>3183</v>
      </c>
      <c r="D41" s="11">
        <f>COUNTIFS('827 Field Register'!$B$5:$B$831,A41,'827 Field Register'!$C$5:$C$831,B41)</f>
        <v>6</v>
      </c>
      <c r="E41" s="26">
        <f t="shared" si="1"/>
        <v>7.2551390568319227E-3</v>
      </c>
      <c r="F41" s="27" t="e">
        <f>INDEX('827 Field Register'!$G$5:$G$831,MATCH(1,('827 Field Register'!$B$5:$B$831=A41)*('827 Field Register'!$C$5:$C$831=B41),0))</f>
        <v>#N/A</v>
      </c>
    </row>
    <row r="42" spans="1:6">
      <c r="A42" s="25" t="s">
        <v>2392</v>
      </c>
      <c r="B42" s="10" t="s">
        <v>2736</v>
      </c>
      <c r="C42" s="10" t="s">
        <v>3183</v>
      </c>
      <c r="D42" s="11">
        <f>COUNTIFS('827 Field Register'!$B$5:$B$831,A42,'827 Field Register'!$C$5:$C$831,B42)</f>
        <v>6</v>
      </c>
      <c r="E42" s="26">
        <f t="shared" si="1"/>
        <v>7.2551390568319227E-3</v>
      </c>
      <c r="F42" s="27" t="e">
        <f>INDEX('827 Field Register'!$G$5:$G$831,MATCH(1,('827 Field Register'!$B$5:$B$831=A42)*('827 Field Register'!$C$5:$C$831=B42),0))</f>
        <v>#N/A</v>
      </c>
    </row>
    <row r="43" spans="1:6">
      <c r="A43" s="25" t="s">
        <v>2392</v>
      </c>
      <c r="B43" s="10" t="s">
        <v>2757</v>
      </c>
      <c r="C43" s="10" t="s">
        <v>3183</v>
      </c>
      <c r="D43" s="11">
        <f>COUNTIFS('827 Field Register'!$B$5:$B$831,A43,'827 Field Register'!$C$5:$C$831,B43)</f>
        <v>6</v>
      </c>
      <c r="E43" s="26">
        <f t="shared" si="1"/>
        <v>7.2551390568319227E-3</v>
      </c>
      <c r="F43" s="27" t="e">
        <f>INDEX('827 Field Register'!$G$5:$G$831,MATCH(1,('827 Field Register'!$B$5:$B$831=A43)*('827 Field Register'!$C$5:$C$831=B43),0))</f>
        <v>#N/A</v>
      </c>
    </row>
    <row r="44" spans="1:6">
      <c r="A44" s="25" t="s">
        <v>2392</v>
      </c>
      <c r="B44" s="10" t="s">
        <v>2778</v>
      </c>
      <c r="C44" s="10" t="s">
        <v>3183</v>
      </c>
      <c r="D44" s="11">
        <f>COUNTIFS('827 Field Register'!$B$5:$B$831,A44,'827 Field Register'!$C$5:$C$831,B44)</f>
        <v>6</v>
      </c>
      <c r="E44" s="26">
        <f t="shared" si="1"/>
        <v>7.2551390568319227E-3</v>
      </c>
      <c r="F44" s="27" t="e">
        <f>INDEX('827 Field Register'!$G$5:$G$831,MATCH(1,('827 Field Register'!$B$5:$B$831=A44)*('827 Field Register'!$C$5:$C$831=B44),0))</f>
        <v>#N/A</v>
      </c>
    </row>
    <row r="45" spans="1:6">
      <c r="A45" s="25" t="s">
        <v>2392</v>
      </c>
      <c r="B45" s="10" t="s">
        <v>2799</v>
      </c>
      <c r="C45" s="10" t="s">
        <v>3183</v>
      </c>
      <c r="D45" s="11">
        <f>COUNTIFS('827 Field Register'!$B$5:$B$831,A45,'827 Field Register'!$C$5:$C$831,B45)</f>
        <v>6</v>
      </c>
      <c r="E45" s="26">
        <f t="shared" si="1"/>
        <v>7.2551390568319227E-3</v>
      </c>
      <c r="F45" s="27" t="e">
        <f>INDEX('827 Field Register'!$G$5:$G$831,MATCH(1,('827 Field Register'!$B$5:$B$831=A45)*('827 Field Register'!$C$5:$C$831=B45),0))</f>
        <v>#N/A</v>
      </c>
    </row>
    <row r="46" spans="1:6">
      <c r="A46" s="25" t="s">
        <v>2392</v>
      </c>
      <c r="B46" s="10" t="s">
        <v>2820</v>
      </c>
      <c r="C46" s="10" t="s">
        <v>3183</v>
      </c>
      <c r="D46" s="11">
        <f>COUNTIFS('827 Field Register'!$B$5:$B$831,A46,'827 Field Register'!$C$5:$C$831,B46)</f>
        <v>6</v>
      </c>
      <c r="E46" s="26">
        <f t="shared" si="1"/>
        <v>7.2551390568319227E-3</v>
      </c>
      <c r="F46" s="27" t="e">
        <f>INDEX('827 Field Register'!$G$5:$G$831,MATCH(1,('827 Field Register'!$B$5:$B$831=A46)*('827 Field Register'!$C$5:$C$831=B46),0))</f>
        <v>#N/A</v>
      </c>
    </row>
    <row r="47" spans="1:6">
      <c r="A47" s="25" t="s">
        <v>2392</v>
      </c>
      <c r="B47" s="10" t="s">
        <v>2841</v>
      </c>
      <c r="C47" s="10" t="s">
        <v>3183</v>
      </c>
      <c r="D47" s="11">
        <f>COUNTIFS('827 Field Register'!$B$5:$B$831,A47,'827 Field Register'!$C$5:$C$831,B47)</f>
        <v>6</v>
      </c>
      <c r="E47" s="26">
        <f t="shared" si="1"/>
        <v>7.2551390568319227E-3</v>
      </c>
      <c r="F47" s="27" t="e">
        <f>INDEX('827 Field Register'!$G$5:$G$831,MATCH(1,('827 Field Register'!$B$5:$B$831=A47)*('827 Field Register'!$C$5:$C$831=B47),0))</f>
        <v>#N/A</v>
      </c>
    </row>
    <row r="48" spans="1:6">
      <c r="A48" s="25" t="s">
        <v>2392</v>
      </c>
      <c r="B48" s="10" t="s">
        <v>2862</v>
      </c>
      <c r="C48" s="10" t="s">
        <v>3183</v>
      </c>
      <c r="D48" s="11">
        <f>COUNTIFS('827 Field Register'!$B$5:$B$831,A48,'827 Field Register'!$C$5:$C$831,B48)</f>
        <v>6</v>
      </c>
      <c r="E48" s="26">
        <f t="shared" si="1"/>
        <v>7.2551390568319227E-3</v>
      </c>
      <c r="F48" s="27" t="e">
        <f>INDEX('827 Field Register'!$G$5:$G$831,MATCH(1,('827 Field Register'!$B$5:$B$831=A48)*('827 Field Register'!$C$5:$C$831=B48),0))</f>
        <v>#N/A</v>
      </c>
    </row>
    <row r="49" spans="1:6">
      <c r="A49" s="25" t="s">
        <v>2392</v>
      </c>
      <c r="B49" s="10" t="s">
        <v>2883</v>
      </c>
      <c r="C49" s="10" t="s">
        <v>3183</v>
      </c>
      <c r="D49" s="11">
        <f>COUNTIFS('827 Field Register'!$B$5:$B$831,A49,'827 Field Register'!$C$5:$C$831,B49)</f>
        <v>6</v>
      </c>
      <c r="E49" s="26">
        <f t="shared" si="1"/>
        <v>7.2551390568319227E-3</v>
      </c>
      <c r="F49" s="27" t="e">
        <f>INDEX('827 Field Register'!$G$5:$G$831,MATCH(1,('827 Field Register'!$B$5:$B$831=A49)*('827 Field Register'!$C$5:$C$831=B49),0))</f>
        <v>#N/A</v>
      </c>
    </row>
    <row r="50" spans="1:6">
      <c r="A50" s="25" t="s">
        <v>2392</v>
      </c>
      <c r="B50" s="10" t="s">
        <v>2904</v>
      </c>
      <c r="C50" s="10" t="s">
        <v>3183</v>
      </c>
      <c r="D50" s="11">
        <f>COUNTIFS('827 Field Register'!$B$5:$B$831,A50,'827 Field Register'!$C$5:$C$831,B50)</f>
        <v>6</v>
      </c>
      <c r="E50" s="26">
        <f t="shared" si="1"/>
        <v>7.2551390568319227E-3</v>
      </c>
      <c r="F50" s="27" t="e">
        <f>INDEX('827 Field Register'!$G$5:$G$831,MATCH(1,('827 Field Register'!$B$5:$B$831=A50)*('827 Field Register'!$C$5:$C$831=B50),0))</f>
        <v>#N/A</v>
      </c>
    </row>
    <row r="51" spans="1:6">
      <c r="A51" s="25" t="s">
        <v>2392</v>
      </c>
      <c r="B51" s="10" t="s">
        <v>2925</v>
      </c>
      <c r="C51" s="10" t="s">
        <v>3183</v>
      </c>
      <c r="D51" s="11">
        <f>COUNTIFS('827 Field Register'!$B$5:$B$831,A51,'827 Field Register'!$C$5:$C$831,B51)</f>
        <v>6</v>
      </c>
      <c r="E51" s="26">
        <f t="shared" si="1"/>
        <v>7.2551390568319227E-3</v>
      </c>
      <c r="F51" s="27" t="e">
        <f>INDEX('827 Field Register'!$G$5:$G$831,MATCH(1,('827 Field Register'!$B$5:$B$831=A51)*('827 Field Register'!$C$5:$C$831=B51),0))</f>
        <v>#N/A</v>
      </c>
    </row>
    <row r="52" spans="1:6">
      <c r="A52" s="25" t="s">
        <v>2392</v>
      </c>
      <c r="B52" s="10" t="s">
        <v>2946</v>
      </c>
      <c r="C52" s="10" t="s">
        <v>3183</v>
      </c>
      <c r="D52" s="11">
        <f>COUNTIFS('827 Field Register'!$B$5:$B$831,A52,'827 Field Register'!$C$5:$C$831,B52)</f>
        <v>6</v>
      </c>
      <c r="E52" s="26">
        <f t="shared" si="1"/>
        <v>7.2551390568319227E-3</v>
      </c>
      <c r="F52" s="27" t="e">
        <f>INDEX('827 Field Register'!$G$5:$G$831,MATCH(1,('827 Field Register'!$B$5:$B$831=A52)*('827 Field Register'!$C$5:$C$831=B52),0))</f>
        <v>#N/A</v>
      </c>
    </row>
    <row r="53" spans="1:6">
      <c r="A53" s="25" t="s">
        <v>2392</v>
      </c>
      <c r="B53" s="10" t="s">
        <v>2967</v>
      </c>
      <c r="C53" s="10" t="s">
        <v>3183</v>
      </c>
      <c r="D53" s="11">
        <f>COUNTIFS('827 Field Register'!$B$5:$B$831,A53,'827 Field Register'!$C$5:$C$831,B53)</f>
        <v>6</v>
      </c>
      <c r="E53" s="26">
        <f t="shared" si="1"/>
        <v>7.2551390568319227E-3</v>
      </c>
      <c r="F53" s="27" t="e">
        <f>INDEX('827 Field Register'!$G$5:$G$831,MATCH(1,('827 Field Register'!$B$5:$B$831=A53)*('827 Field Register'!$C$5:$C$831=B53),0))</f>
        <v>#N/A</v>
      </c>
    </row>
    <row r="54" spans="1:6">
      <c r="A54" s="25" t="s">
        <v>2392</v>
      </c>
      <c r="B54" s="10" t="s">
        <v>2987</v>
      </c>
      <c r="C54" s="10" t="s">
        <v>3183</v>
      </c>
      <c r="D54" s="11">
        <f>COUNTIFS('827 Field Register'!$B$5:$B$831,A54,'827 Field Register'!$C$5:$C$831,B54)</f>
        <v>6</v>
      </c>
      <c r="E54" s="26">
        <f t="shared" si="1"/>
        <v>7.2551390568319227E-3</v>
      </c>
      <c r="F54" s="27" t="e">
        <f>INDEX('827 Field Register'!$G$5:$G$831,MATCH(1,('827 Field Register'!$B$5:$B$831=A54)*('827 Field Register'!$C$5:$C$831=B54),0))</f>
        <v>#N/A</v>
      </c>
    </row>
    <row r="55" spans="1:6">
      <c r="A55" s="25" t="s">
        <v>2392</v>
      </c>
      <c r="B55" s="10" t="s">
        <v>3008</v>
      </c>
      <c r="C55" s="10" t="s">
        <v>3183</v>
      </c>
      <c r="D55" s="11">
        <f>COUNTIFS('827 Field Register'!$B$5:$B$831,A55,'827 Field Register'!$C$5:$C$831,B55)</f>
        <v>6</v>
      </c>
      <c r="E55" s="26">
        <f t="shared" si="1"/>
        <v>7.2551390568319227E-3</v>
      </c>
      <c r="F55" s="27" t="e">
        <f>INDEX('827 Field Register'!$G$5:$G$831,MATCH(1,('827 Field Register'!$B$5:$B$831=A55)*('827 Field Register'!$C$5:$C$831=B55),0))</f>
        <v>#N/A</v>
      </c>
    </row>
    <row r="56" spans="1:6">
      <c r="A56" s="25" t="s">
        <v>2392</v>
      </c>
      <c r="B56" s="10" t="s">
        <v>3029</v>
      </c>
      <c r="C56" s="10" t="s">
        <v>3183</v>
      </c>
      <c r="D56" s="11">
        <f>COUNTIFS('827 Field Register'!$B$5:$B$831,A56,'827 Field Register'!$C$5:$C$831,B56)</f>
        <v>6</v>
      </c>
      <c r="E56" s="26">
        <f t="shared" si="1"/>
        <v>7.2551390568319227E-3</v>
      </c>
      <c r="F56" s="27" t="e">
        <f>INDEX('827 Field Register'!$G$5:$G$831,MATCH(1,('827 Field Register'!$B$5:$B$831=A56)*('827 Field Register'!$C$5:$C$831=B56),0))</f>
        <v>#N/A</v>
      </c>
    </row>
    <row r="57" spans="1:6">
      <c r="A57" s="25" t="s">
        <v>2392</v>
      </c>
      <c r="B57" s="10" t="s">
        <v>3050</v>
      </c>
      <c r="C57" s="10" t="s">
        <v>3183</v>
      </c>
      <c r="D57" s="11">
        <f>COUNTIFS('827 Field Register'!$B$5:$B$831,A57,'827 Field Register'!$C$5:$C$831,B57)</f>
        <v>6</v>
      </c>
      <c r="E57" s="26">
        <f t="shared" si="1"/>
        <v>7.2551390568319227E-3</v>
      </c>
      <c r="F57" s="27" t="e">
        <f>INDEX('827 Field Register'!$G$5:$G$831,MATCH(1,('827 Field Register'!$B$5:$B$831=A57)*('827 Field Register'!$C$5:$C$831=B57),0))</f>
        <v>#N/A</v>
      </c>
    </row>
    <row r="58" spans="1:6">
      <c r="A58" s="25" t="s">
        <v>2392</v>
      </c>
      <c r="B58" s="10" t="s">
        <v>3071</v>
      </c>
      <c r="C58" s="10" t="s">
        <v>3183</v>
      </c>
      <c r="D58" s="11">
        <f>COUNTIFS('827 Field Register'!$B$5:$B$831,A58,'827 Field Register'!$C$5:$C$831,B58)</f>
        <v>6</v>
      </c>
      <c r="E58" s="26">
        <f t="shared" si="1"/>
        <v>7.2551390568319227E-3</v>
      </c>
      <c r="F58" s="27" t="e">
        <f>INDEX('827 Field Register'!$G$5:$G$831,MATCH(1,('827 Field Register'!$B$5:$B$831=A58)*('827 Field Register'!$C$5:$C$831=B58),0))</f>
        <v>#N/A</v>
      </c>
    </row>
    <row r="59" spans="1:6">
      <c r="A59" s="25" t="s">
        <v>2392</v>
      </c>
      <c r="B59" s="10" t="s">
        <v>3092</v>
      </c>
      <c r="C59" s="10" t="s">
        <v>3183</v>
      </c>
      <c r="D59" s="11">
        <f>COUNTIFS('827 Field Register'!$B$5:$B$831,A59,'827 Field Register'!$C$5:$C$831,B59)</f>
        <v>6</v>
      </c>
      <c r="E59" s="26">
        <f t="shared" si="1"/>
        <v>7.2551390568319227E-3</v>
      </c>
      <c r="F59" s="27" t="e">
        <f>INDEX('827 Field Register'!$G$5:$G$831,MATCH(1,('827 Field Register'!$B$5:$B$831=A59)*('827 Field Register'!$C$5:$C$831=B59),0))</f>
        <v>#N/A</v>
      </c>
    </row>
    <row r="60" spans="1:6">
      <c r="A60" s="25" t="s">
        <v>2392</v>
      </c>
      <c r="B60" s="10" t="s">
        <v>3113</v>
      </c>
      <c r="C60" s="10" t="s">
        <v>3183</v>
      </c>
      <c r="D60" s="11">
        <f>COUNTIFS('827 Field Register'!$B$5:$B$831,A60,'827 Field Register'!$C$5:$C$831,B60)</f>
        <v>6</v>
      </c>
      <c r="E60" s="26">
        <f t="shared" si="1"/>
        <v>7.2551390568319227E-3</v>
      </c>
      <c r="F60" s="27" t="e">
        <f>INDEX('827 Field Register'!$G$5:$G$831,MATCH(1,('827 Field Register'!$B$5:$B$831=A60)*('827 Field Register'!$C$5:$C$831=B60),0))</f>
        <v>#N/A</v>
      </c>
    </row>
    <row r="61" spans="1:6">
      <c r="A61" s="25" t="s">
        <v>2392</v>
      </c>
      <c r="B61" s="10" t="s">
        <v>3134</v>
      </c>
      <c r="C61" s="10" t="s">
        <v>3183</v>
      </c>
      <c r="D61" s="11">
        <f>COUNTIFS('827 Field Register'!$B$5:$B$831,A61,'827 Field Register'!$C$5:$C$831,B61)</f>
        <v>6</v>
      </c>
      <c r="E61" s="26">
        <f t="shared" si="1"/>
        <v>7.2551390568319227E-3</v>
      </c>
      <c r="F61" s="27" t="e">
        <f>INDEX('827 Field Register'!$G$5:$G$831,MATCH(1,('827 Field Register'!$B$5:$B$831=A61)*('827 Field Register'!$C$5:$C$831=B61),0))</f>
        <v>#N/A</v>
      </c>
    </row>
    <row r="62" spans="1:6">
      <c r="A62" s="28" t="s">
        <v>2392</v>
      </c>
      <c r="B62" s="29" t="s">
        <v>3155</v>
      </c>
      <c r="C62" s="29" t="s">
        <v>3183</v>
      </c>
      <c r="D62" s="30">
        <f>COUNTIFS('827 Field Register'!$B$5:$B$831,A62,'827 Field Register'!$C$5:$C$831,B62)</f>
        <v>6</v>
      </c>
      <c r="E62" s="31">
        <f t="shared" si="1"/>
        <v>7.2551390568319227E-3</v>
      </c>
      <c r="F62" s="32" t="e">
        <f>INDEX('827 Field Register'!$G$5:$G$831,MATCH(1,('827 Field Register'!$B$5:$B$831=A62)*('827 Field Register'!$C$5:$C$831=B62),0))</f>
        <v>#N/A</v>
      </c>
    </row>
    <row r="63" spans="1:6">
      <c r="A63" s="1"/>
      <c r="B63" s="1"/>
      <c r="C63" s="1"/>
      <c r="D63" s="33"/>
      <c r="E63" s="34"/>
      <c r="F63" s="1"/>
    </row>
    <row r="64" spans="1:6">
      <c r="A64" s="64" t="s">
        <v>3184</v>
      </c>
      <c r="B64" s="64"/>
      <c r="C64" s="64"/>
      <c r="D64" s="35">
        <f>SUM(D5:D62)</f>
        <v>827</v>
      </c>
      <c r="E64" s="36">
        <f>SUM(E5:E62)</f>
        <v>1.0000000000000013</v>
      </c>
      <c r="F64" s="2"/>
    </row>
  </sheetData>
  <mergeCells count="3">
    <mergeCell ref="A1:F1"/>
    <mergeCell ref="A2:F2"/>
    <mergeCell ref="A64:C6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showGridLines="0" workbookViewId="0">
      <selection sqref="A1:F1"/>
    </sheetView>
  </sheetViews>
  <sheetFormatPr defaultRowHeight="14"/>
  <cols>
    <col min="1" max="1" width="12" customWidth="1"/>
    <col min="2" max="2" width="56" customWidth="1"/>
    <col min="3" max="6" width="16" customWidth="1"/>
  </cols>
  <sheetData>
    <row r="1" spans="1:6">
      <c r="A1" s="37" t="s">
        <v>3185</v>
      </c>
      <c r="B1" s="37"/>
      <c r="C1" s="37"/>
      <c r="D1" s="37"/>
      <c r="E1" s="37"/>
      <c r="F1" s="37"/>
    </row>
    <row r="2" spans="1:6">
      <c r="A2" s="38" t="s">
        <v>3186</v>
      </c>
      <c r="B2" s="38"/>
      <c r="C2" s="38"/>
      <c r="D2" s="38"/>
      <c r="E2" s="38"/>
      <c r="F2" s="38"/>
    </row>
    <row r="3" spans="1:6">
      <c r="A3" s="1"/>
      <c r="B3" s="1"/>
      <c r="C3" s="1"/>
      <c r="D3" s="1"/>
      <c r="E3" s="1"/>
      <c r="F3" s="1"/>
    </row>
    <row r="4" spans="1:6" ht="34" customHeight="1">
      <c r="A4" s="3" t="s">
        <v>40</v>
      </c>
      <c r="B4" s="3" t="s">
        <v>41</v>
      </c>
      <c r="C4" s="3" t="s">
        <v>3187</v>
      </c>
      <c r="D4" s="3" t="s">
        <v>3188</v>
      </c>
      <c r="E4" s="3" t="s">
        <v>3179</v>
      </c>
      <c r="F4" s="3" t="s">
        <v>3189</v>
      </c>
    </row>
    <row r="5" spans="1:6">
      <c r="A5" s="1" t="s">
        <v>2395</v>
      </c>
      <c r="B5" s="1" t="s">
        <v>2396</v>
      </c>
      <c r="C5" s="1" t="s">
        <v>2397</v>
      </c>
      <c r="D5" s="1" t="s">
        <v>2414</v>
      </c>
      <c r="E5" s="1">
        <v>6</v>
      </c>
      <c r="F5" s="1" t="s">
        <v>3190</v>
      </c>
    </row>
    <row r="6" spans="1:6">
      <c r="A6" s="1" t="s">
        <v>2418</v>
      </c>
      <c r="B6" s="1" t="s">
        <v>2419</v>
      </c>
      <c r="C6" s="1" t="s">
        <v>2420</v>
      </c>
      <c r="D6" s="1" t="s">
        <v>2436</v>
      </c>
      <c r="E6" s="1">
        <v>6</v>
      </c>
      <c r="F6" s="1" t="s">
        <v>3190</v>
      </c>
    </row>
    <row r="7" spans="1:6">
      <c r="A7" s="1" t="s">
        <v>2440</v>
      </c>
      <c r="B7" s="1" t="s">
        <v>2441</v>
      </c>
      <c r="C7" s="1" t="s">
        <v>2442</v>
      </c>
      <c r="D7" s="1" t="s">
        <v>2458</v>
      </c>
      <c r="E7" s="1">
        <v>6</v>
      </c>
      <c r="F7" s="1" t="s">
        <v>3190</v>
      </c>
    </row>
    <row r="8" spans="1:6">
      <c r="A8" s="1" t="s">
        <v>2462</v>
      </c>
      <c r="B8" s="1" t="s">
        <v>2463</v>
      </c>
      <c r="C8" s="1" t="s">
        <v>2464</v>
      </c>
      <c r="D8" s="1" t="s">
        <v>2480</v>
      </c>
      <c r="E8" s="1">
        <v>6</v>
      </c>
      <c r="F8" s="1" t="s">
        <v>3190</v>
      </c>
    </row>
    <row r="9" spans="1:6">
      <c r="A9" s="1" t="s">
        <v>2484</v>
      </c>
      <c r="B9" s="1" t="s">
        <v>2485</v>
      </c>
      <c r="C9" s="1" t="s">
        <v>2486</v>
      </c>
      <c r="D9" s="1" t="s">
        <v>2501</v>
      </c>
      <c r="E9" s="1">
        <v>6</v>
      </c>
      <c r="F9" s="1" t="s">
        <v>3190</v>
      </c>
    </row>
    <row r="10" spans="1:6">
      <c r="A10" s="1" t="s">
        <v>2505</v>
      </c>
      <c r="B10" s="1" t="s">
        <v>2506</v>
      </c>
      <c r="C10" s="1" t="s">
        <v>2507</v>
      </c>
      <c r="D10" s="1" t="s">
        <v>2522</v>
      </c>
      <c r="E10" s="1">
        <v>6</v>
      </c>
      <c r="F10" s="1" t="s">
        <v>3190</v>
      </c>
    </row>
    <row r="11" spans="1:6">
      <c r="A11" s="1" t="s">
        <v>2526</v>
      </c>
      <c r="B11" s="1" t="s">
        <v>2527</v>
      </c>
      <c r="C11" s="1" t="s">
        <v>2528</v>
      </c>
      <c r="D11" s="1" t="s">
        <v>2543</v>
      </c>
      <c r="E11" s="1">
        <v>6</v>
      </c>
      <c r="F11" s="1" t="s">
        <v>3190</v>
      </c>
    </row>
    <row r="12" spans="1:6">
      <c r="A12" s="1" t="s">
        <v>2547</v>
      </c>
      <c r="B12" s="1" t="s">
        <v>2548</v>
      </c>
      <c r="C12" s="1" t="s">
        <v>2549</v>
      </c>
      <c r="D12" s="1" t="s">
        <v>2564</v>
      </c>
      <c r="E12" s="1">
        <v>6</v>
      </c>
      <c r="F12" s="1" t="s">
        <v>3190</v>
      </c>
    </row>
    <row r="13" spans="1:6">
      <c r="A13" s="1" t="s">
        <v>2568</v>
      </c>
      <c r="B13" s="1" t="s">
        <v>2569</v>
      </c>
      <c r="C13" s="1" t="s">
        <v>2570</v>
      </c>
      <c r="D13" s="1" t="s">
        <v>2585</v>
      </c>
      <c r="E13" s="1">
        <v>6</v>
      </c>
      <c r="F13" s="1" t="s">
        <v>3190</v>
      </c>
    </row>
    <row r="14" spans="1:6">
      <c r="A14" s="1" t="s">
        <v>2589</v>
      </c>
      <c r="B14" s="1" t="s">
        <v>2590</v>
      </c>
      <c r="C14" s="1" t="s">
        <v>2591</v>
      </c>
      <c r="D14" s="1" t="s">
        <v>2606</v>
      </c>
      <c r="E14" s="1">
        <v>6</v>
      </c>
      <c r="F14" s="1" t="s">
        <v>3190</v>
      </c>
    </row>
    <row r="15" spans="1:6">
      <c r="A15" s="1" t="s">
        <v>2610</v>
      </c>
      <c r="B15" s="1" t="s">
        <v>2611</v>
      </c>
      <c r="C15" s="1" t="s">
        <v>2612</v>
      </c>
      <c r="D15" s="1" t="s">
        <v>2627</v>
      </c>
      <c r="E15" s="1">
        <v>6</v>
      </c>
      <c r="F15" s="1" t="s">
        <v>3190</v>
      </c>
    </row>
    <row r="16" spans="1:6">
      <c r="A16" s="1" t="s">
        <v>2631</v>
      </c>
      <c r="B16" s="1" t="s">
        <v>2632</v>
      </c>
      <c r="C16" s="1" t="s">
        <v>2633</v>
      </c>
      <c r="D16" s="1" t="s">
        <v>2648</v>
      </c>
      <c r="E16" s="1">
        <v>6</v>
      </c>
      <c r="F16" s="1" t="s">
        <v>3190</v>
      </c>
    </row>
    <row r="17" spans="1:6">
      <c r="A17" s="1" t="s">
        <v>2652</v>
      </c>
      <c r="B17" s="1" t="s">
        <v>2653</v>
      </c>
      <c r="C17" s="1" t="s">
        <v>2654</v>
      </c>
      <c r="D17" s="1" t="s">
        <v>2669</v>
      </c>
      <c r="E17" s="1">
        <v>6</v>
      </c>
      <c r="F17" s="1" t="s">
        <v>3190</v>
      </c>
    </row>
    <row r="18" spans="1:6">
      <c r="A18" s="1" t="s">
        <v>2673</v>
      </c>
      <c r="B18" s="1" t="s">
        <v>2674</v>
      </c>
      <c r="C18" s="1" t="s">
        <v>2675</v>
      </c>
      <c r="D18" s="1" t="s">
        <v>2690</v>
      </c>
      <c r="E18" s="1">
        <v>6</v>
      </c>
      <c r="F18" s="1" t="s">
        <v>3190</v>
      </c>
    </row>
    <row r="19" spans="1:6">
      <c r="A19" s="1" t="s">
        <v>2694</v>
      </c>
      <c r="B19" s="1" t="s">
        <v>2695</v>
      </c>
      <c r="C19" s="1" t="s">
        <v>2696</v>
      </c>
      <c r="D19" s="1" t="s">
        <v>2711</v>
      </c>
      <c r="E19" s="1">
        <v>6</v>
      </c>
      <c r="F19" s="1" t="s">
        <v>3190</v>
      </c>
    </row>
    <row r="20" spans="1:6">
      <c r="A20" s="1" t="s">
        <v>2716</v>
      </c>
      <c r="B20" s="1" t="s">
        <v>2717</v>
      </c>
      <c r="C20" s="1" t="s">
        <v>2718</v>
      </c>
      <c r="D20" s="1" t="s">
        <v>2733</v>
      </c>
      <c r="E20" s="1">
        <v>6</v>
      </c>
      <c r="F20" s="1" t="s">
        <v>3190</v>
      </c>
    </row>
    <row r="21" spans="1:6">
      <c r="A21" s="1" t="s">
        <v>2737</v>
      </c>
      <c r="B21" s="1" t="s">
        <v>2738</v>
      </c>
      <c r="C21" s="1" t="s">
        <v>2739</v>
      </c>
      <c r="D21" s="1" t="s">
        <v>2754</v>
      </c>
      <c r="E21" s="1">
        <v>6</v>
      </c>
      <c r="F21" s="1" t="s">
        <v>3190</v>
      </c>
    </row>
    <row r="22" spans="1:6">
      <c r="A22" s="1" t="s">
        <v>2758</v>
      </c>
      <c r="B22" s="1" t="s">
        <v>2759</v>
      </c>
      <c r="C22" s="1" t="s">
        <v>2760</v>
      </c>
      <c r="D22" s="1" t="s">
        <v>2775</v>
      </c>
      <c r="E22" s="1">
        <v>6</v>
      </c>
      <c r="F22" s="1" t="s">
        <v>3190</v>
      </c>
    </row>
    <row r="23" spans="1:6">
      <c r="A23" s="1" t="s">
        <v>2779</v>
      </c>
      <c r="B23" s="1" t="s">
        <v>2780</v>
      </c>
      <c r="C23" s="1" t="s">
        <v>2781</v>
      </c>
      <c r="D23" s="1" t="s">
        <v>2796</v>
      </c>
      <c r="E23" s="1">
        <v>6</v>
      </c>
      <c r="F23" s="1" t="s">
        <v>3190</v>
      </c>
    </row>
    <row r="24" spans="1:6">
      <c r="A24" s="1" t="s">
        <v>2800</v>
      </c>
      <c r="B24" s="1" t="s">
        <v>2801</v>
      </c>
      <c r="C24" s="1" t="s">
        <v>2802</v>
      </c>
      <c r="D24" s="1" t="s">
        <v>2817</v>
      </c>
      <c r="E24" s="1">
        <v>6</v>
      </c>
      <c r="F24" s="1" t="s">
        <v>3190</v>
      </c>
    </row>
    <row r="25" spans="1:6">
      <c r="A25" s="1" t="s">
        <v>2821</v>
      </c>
      <c r="B25" s="1" t="s">
        <v>2822</v>
      </c>
      <c r="C25" s="1" t="s">
        <v>2823</v>
      </c>
      <c r="D25" s="1" t="s">
        <v>2838</v>
      </c>
      <c r="E25" s="1">
        <v>6</v>
      </c>
      <c r="F25" s="1" t="s">
        <v>3190</v>
      </c>
    </row>
    <row r="26" spans="1:6">
      <c r="A26" s="1" t="s">
        <v>2842</v>
      </c>
      <c r="B26" s="1" t="s">
        <v>2843</v>
      </c>
      <c r="C26" s="1" t="s">
        <v>2844</v>
      </c>
      <c r="D26" s="1" t="s">
        <v>2859</v>
      </c>
      <c r="E26" s="1">
        <v>6</v>
      </c>
      <c r="F26" s="1" t="s">
        <v>3190</v>
      </c>
    </row>
    <row r="27" spans="1:6">
      <c r="A27" s="1" t="s">
        <v>2863</v>
      </c>
      <c r="B27" s="1" t="s">
        <v>2864</v>
      </c>
      <c r="C27" s="1" t="s">
        <v>2865</v>
      </c>
      <c r="D27" s="1" t="s">
        <v>2880</v>
      </c>
      <c r="E27" s="1">
        <v>6</v>
      </c>
      <c r="F27" s="1" t="s">
        <v>3190</v>
      </c>
    </row>
    <row r="28" spans="1:6">
      <c r="A28" s="1" t="s">
        <v>2884</v>
      </c>
      <c r="B28" s="1" t="s">
        <v>2885</v>
      </c>
      <c r="C28" s="1" t="s">
        <v>2886</v>
      </c>
      <c r="D28" s="1" t="s">
        <v>2901</v>
      </c>
      <c r="E28" s="1">
        <v>6</v>
      </c>
      <c r="F28" s="1" t="s">
        <v>3190</v>
      </c>
    </row>
    <row r="29" spans="1:6">
      <c r="A29" s="1" t="s">
        <v>2905</v>
      </c>
      <c r="B29" s="1" t="s">
        <v>2906</v>
      </c>
      <c r="C29" s="1" t="s">
        <v>2907</v>
      </c>
      <c r="D29" s="1" t="s">
        <v>2922</v>
      </c>
      <c r="E29" s="1">
        <v>6</v>
      </c>
      <c r="F29" s="1" t="s">
        <v>3190</v>
      </c>
    </row>
    <row r="30" spans="1:6">
      <c r="A30" s="1" t="s">
        <v>2926</v>
      </c>
      <c r="B30" s="1" t="s">
        <v>2927</v>
      </c>
      <c r="C30" s="1" t="s">
        <v>2928</v>
      </c>
      <c r="D30" s="1" t="s">
        <v>2943</v>
      </c>
      <c r="E30" s="1">
        <v>6</v>
      </c>
      <c r="F30" s="1" t="s">
        <v>3190</v>
      </c>
    </row>
    <row r="31" spans="1:6">
      <c r="A31" s="1" t="s">
        <v>2947</v>
      </c>
      <c r="B31" s="1" t="s">
        <v>2948</v>
      </c>
      <c r="C31" s="1" t="s">
        <v>2949</v>
      </c>
      <c r="D31" s="1" t="s">
        <v>2964</v>
      </c>
      <c r="E31" s="1">
        <v>6</v>
      </c>
      <c r="F31" s="1" t="s">
        <v>3190</v>
      </c>
    </row>
    <row r="32" spans="1:6">
      <c r="A32" s="1" t="s">
        <v>2968</v>
      </c>
      <c r="B32" s="1" t="s">
        <v>2969</v>
      </c>
      <c r="C32" s="1" t="s">
        <v>2970</v>
      </c>
      <c r="D32" s="1" t="s">
        <v>2984</v>
      </c>
      <c r="E32" s="1">
        <v>6</v>
      </c>
      <c r="F32" s="1" t="s">
        <v>3190</v>
      </c>
    </row>
    <row r="33" spans="1:6">
      <c r="A33" s="1" t="s">
        <v>2988</v>
      </c>
      <c r="B33" s="1" t="s">
        <v>2989</v>
      </c>
      <c r="C33" s="1" t="s">
        <v>2990</v>
      </c>
      <c r="D33" s="1" t="s">
        <v>3005</v>
      </c>
      <c r="E33" s="1">
        <v>6</v>
      </c>
      <c r="F33" s="1" t="s">
        <v>3190</v>
      </c>
    </row>
    <row r="34" spans="1:6">
      <c r="A34" s="1" t="s">
        <v>3009</v>
      </c>
      <c r="B34" s="1" t="s">
        <v>3010</v>
      </c>
      <c r="C34" s="1" t="s">
        <v>3011</v>
      </c>
      <c r="D34" s="1" t="s">
        <v>3026</v>
      </c>
      <c r="E34" s="1">
        <v>6</v>
      </c>
      <c r="F34" s="1" t="s">
        <v>3190</v>
      </c>
    </row>
    <row r="35" spans="1:6">
      <c r="A35" s="1" t="s">
        <v>3030</v>
      </c>
      <c r="B35" s="1" t="s">
        <v>3031</v>
      </c>
      <c r="C35" s="1" t="s">
        <v>3032</v>
      </c>
      <c r="D35" s="1" t="s">
        <v>3047</v>
      </c>
      <c r="E35" s="1">
        <v>6</v>
      </c>
      <c r="F35" s="1" t="s">
        <v>3190</v>
      </c>
    </row>
    <row r="36" spans="1:6">
      <c r="A36" s="1" t="s">
        <v>3051</v>
      </c>
      <c r="B36" s="1" t="s">
        <v>3052</v>
      </c>
      <c r="C36" s="1" t="s">
        <v>3053</v>
      </c>
      <c r="D36" s="1" t="s">
        <v>3068</v>
      </c>
      <c r="E36" s="1">
        <v>6</v>
      </c>
      <c r="F36" s="1" t="s">
        <v>3190</v>
      </c>
    </row>
    <row r="37" spans="1:6">
      <c r="A37" s="1" t="s">
        <v>3072</v>
      </c>
      <c r="B37" s="1" t="s">
        <v>3073</v>
      </c>
      <c r="C37" s="1" t="s">
        <v>3074</v>
      </c>
      <c r="D37" s="1" t="s">
        <v>3089</v>
      </c>
      <c r="E37" s="1">
        <v>6</v>
      </c>
      <c r="F37" s="1" t="s">
        <v>3190</v>
      </c>
    </row>
    <row r="38" spans="1:6">
      <c r="A38" s="1" t="s">
        <v>3093</v>
      </c>
      <c r="B38" s="1" t="s">
        <v>3094</v>
      </c>
      <c r="C38" s="1" t="s">
        <v>3095</v>
      </c>
      <c r="D38" s="1" t="s">
        <v>3110</v>
      </c>
      <c r="E38" s="1">
        <v>6</v>
      </c>
      <c r="F38" s="1" t="s">
        <v>3190</v>
      </c>
    </row>
    <row r="39" spans="1:6">
      <c r="A39" s="1" t="s">
        <v>3114</v>
      </c>
      <c r="B39" s="1" t="s">
        <v>3115</v>
      </c>
      <c r="C39" s="1" t="s">
        <v>3116</v>
      </c>
      <c r="D39" s="1" t="s">
        <v>3131</v>
      </c>
      <c r="E39" s="1">
        <v>6</v>
      </c>
      <c r="F39" s="1" t="s">
        <v>3190</v>
      </c>
    </row>
    <row r="40" spans="1:6">
      <c r="A40" s="1" t="s">
        <v>3135</v>
      </c>
      <c r="B40" s="1" t="s">
        <v>3136</v>
      </c>
      <c r="C40" s="1" t="s">
        <v>3137</v>
      </c>
      <c r="D40" s="1" t="s">
        <v>3152</v>
      </c>
      <c r="E40" s="1">
        <v>6</v>
      </c>
      <c r="F40" s="1" t="s">
        <v>3190</v>
      </c>
    </row>
    <row r="41" spans="1:6">
      <c r="A41" s="1" t="s">
        <v>3156</v>
      </c>
      <c r="B41" s="1" t="s">
        <v>3157</v>
      </c>
      <c r="C41" s="1" t="s">
        <v>3158</v>
      </c>
      <c r="D41" s="1" t="s">
        <v>3173</v>
      </c>
      <c r="E41" s="1">
        <v>6</v>
      </c>
      <c r="F41" s="1" t="s">
        <v>3190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showGridLines="0" workbookViewId="0">
      <selection sqref="A1:F1"/>
    </sheetView>
  </sheetViews>
  <sheetFormatPr defaultRowHeight="14"/>
  <cols>
    <col min="1" max="1" width="23" customWidth="1"/>
    <col min="2" max="2" width="30" customWidth="1"/>
    <col min="3" max="3" width="80" customWidth="1"/>
  </cols>
  <sheetData>
    <row r="1" spans="1:6">
      <c r="A1" s="37" t="s">
        <v>3191</v>
      </c>
      <c r="B1" s="37"/>
      <c r="C1" s="37"/>
      <c r="D1" s="37"/>
      <c r="E1" s="37"/>
      <c r="F1" s="37"/>
    </row>
    <row r="2" spans="1:6">
      <c r="A2" s="38" t="s">
        <v>3192</v>
      </c>
      <c r="B2" s="38"/>
      <c r="C2" s="38"/>
      <c r="D2" s="38"/>
      <c r="E2" s="38"/>
      <c r="F2" s="38"/>
    </row>
    <row r="3" spans="1:6">
      <c r="A3" s="1"/>
      <c r="B3" s="1"/>
      <c r="C3" s="1"/>
      <c r="D3" s="1"/>
      <c r="E3" s="1"/>
      <c r="F3" s="1"/>
    </row>
    <row r="4" spans="1:6">
      <c r="A4" s="3" t="s">
        <v>3193</v>
      </c>
      <c r="B4" s="3" t="s">
        <v>3194</v>
      </c>
      <c r="C4" s="3" t="s">
        <v>3195</v>
      </c>
      <c r="D4" s="1"/>
      <c r="E4" s="1"/>
      <c r="F4" s="1"/>
    </row>
    <row r="5" spans="1:6">
      <c r="A5" s="20" t="s">
        <v>9</v>
      </c>
      <c r="B5" s="20" t="s">
        <v>16</v>
      </c>
      <c r="C5" s="20" t="s">
        <v>17</v>
      </c>
      <c r="D5" s="1"/>
      <c r="E5" s="1"/>
      <c r="F5" s="1"/>
    </row>
    <row r="6" spans="1:6">
      <c r="A6" s="20" t="s">
        <v>9</v>
      </c>
      <c r="B6" s="20" t="s">
        <v>24</v>
      </c>
      <c r="C6" s="20" t="s">
        <v>3196</v>
      </c>
      <c r="D6" s="1"/>
      <c r="E6" s="1"/>
      <c r="F6" s="1"/>
    </row>
    <row r="7" spans="1:6">
      <c r="A7" s="20" t="s">
        <v>9</v>
      </c>
      <c r="B7" s="20" t="s">
        <v>28</v>
      </c>
      <c r="C7" s="20" t="s">
        <v>3197</v>
      </c>
      <c r="D7" s="1"/>
      <c r="E7" s="1"/>
      <c r="F7" s="1"/>
    </row>
    <row r="8" spans="1:6">
      <c r="A8" s="20" t="s">
        <v>9</v>
      </c>
      <c r="B8" s="20" t="s">
        <v>20</v>
      </c>
      <c r="C8" s="20" t="s">
        <v>3198</v>
      </c>
      <c r="D8" s="1"/>
      <c r="E8" s="1"/>
      <c r="F8" s="1"/>
    </row>
    <row r="9" spans="1:6">
      <c r="A9" s="20"/>
      <c r="B9" s="20"/>
      <c r="C9" s="20"/>
      <c r="D9" s="1"/>
      <c r="E9" s="1"/>
      <c r="F9" s="1"/>
    </row>
    <row r="10" spans="1:6">
      <c r="A10" s="3" t="s">
        <v>3199</v>
      </c>
      <c r="B10" s="3" t="s">
        <v>3200</v>
      </c>
      <c r="C10" s="3" t="s">
        <v>3201</v>
      </c>
      <c r="D10" s="1"/>
      <c r="E10" s="1"/>
      <c r="F10" s="1"/>
    </row>
    <row r="11" spans="1:6">
      <c r="A11" s="20" t="s">
        <v>3202</v>
      </c>
      <c r="B11" s="20" t="s">
        <v>522</v>
      </c>
      <c r="C11" s="20" t="s">
        <v>3203</v>
      </c>
      <c r="D11" s="1"/>
      <c r="E11" s="1"/>
      <c r="F11" s="1"/>
    </row>
    <row r="12" spans="1:6">
      <c r="A12" s="20" t="s">
        <v>3204</v>
      </c>
      <c r="B12" s="20" t="s">
        <v>3205</v>
      </c>
      <c r="C12" s="20" t="s">
        <v>3206</v>
      </c>
      <c r="D12" s="1"/>
      <c r="E12" s="1"/>
      <c r="F12" s="1"/>
    </row>
    <row r="13" spans="1:6">
      <c r="A13" s="20" t="s">
        <v>3207</v>
      </c>
      <c r="B13" s="20" t="s">
        <v>3208</v>
      </c>
      <c r="C13" s="20" t="s">
        <v>3209</v>
      </c>
      <c r="D13" s="1"/>
      <c r="E13" s="1"/>
      <c r="F13" s="1"/>
    </row>
    <row r="14" spans="1:6">
      <c r="A14" s="20" t="s">
        <v>3210</v>
      </c>
      <c r="B14" s="20" t="s">
        <v>3211</v>
      </c>
      <c r="C14" s="20" t="s">
        <v>3212</v>
      </c>
      <c r="D14" s="1"/>
      <c r="E14" s="1"/>
      <c r="F14" s="1"/>
    </row>
    <row r="15" spans="1:6">
      <c r="A15" s="20" t="s">
        <v>1692</v>
      </c>
      <c r="B15" s="20" t="s">
        <v>3213</v>
      </c>
      <c r="C15" s="20" t="s">
        <v>3214</v>
      </c>
      <c r="D15" s="1"/>
      <c r="E15" s="1"/>
      <c r="F15" s="1"/>
    </row>
    <row r="16" spans="1:6">
      <c r="A16" s="20" t="s">
        <v>3215</v>
      </c>
      <c r="B16" s="20" t="s">
        <v>3216</v>
      </c>
      <c r="C16" s="20" t="s">
        <v>3217</v>
      </c>
      <c r="D16" s="1"/>
      <c r="E16" s="1"/>
      <c r="F16" s="1"/>
    </row>
    <row r="17" spans="1:6">
      <c r="A17" s="20" t="s">
        <v>3218</v>
      </c>
      <c r="B17" s="20" t="s">
        <v>3219</v>
      </c>
      <c r="C17" s="20" t="s">
        <v>3220</v>
      </c>
      <c r="D17" s="1"/>
      <c r="E17" s="1"/>
      <c r="F17" s="1"/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7"/>
  <sheetViews>
    <sheetView showGridLines="0" tabSelected="1" topLeftCell="A6" workbookViewId="0">
      <selection sqref="A1:D1"/>
    </sheetView>
  </sheetViews>
  <sheetFormatPr defaultRowHeight="14"/>
  <cols>
    <col min="1" max="1" width="30" customWidth="1"/>
    <col min="2" max="2" width="92" customWidth="1"/>
  </cols>
  <sheetData>
    <row r="1" spans="1:4">
      <c r="A1" s="37" t="s">
        <v>3221</v>
      </c>
      <c r="B1" s="37"/>
      <c r="C1" s="37"/>
      <c r="D1" s="37"/>
    </row>
    <row r="2" spans="1:4">
      <c r="A2" s="38" t="s">
        <v>3222</v>
      </c>
      <c r="B2" s="38"/>
      <c r="C2" s="38"/>
      <c r="D2" s="38"/>
    </row>
    <row r="3" spans="1:4">
      <c r="A3" s="1"/>
      <c r="B3" s="1"/>
      <c r="C3" s="1"/>
      <c r="D3" s="1"/>
    </row>
    <row r="4" spans="1:4">
      <c r="A4" s="3" t="s">
        <v>3223</v>
      </c>
      <c r="B4" s="3" t="s">
        <v>3224</v>
      </c>
      <c r="C4" s="1"/>
      <c r="D4" s="1"/>
    </row>
    <row r="5" spans="1:4">
      <c r="A5" s="20" t="s">
        <v>3225</v>
      </c>
      <c r="B5" s="20" t="s">
        <v>3226</v>
      </c>
      <c r="C5" s="1"/>
      <c r="D5" s="1"/>
    </row>
    <row r="6" spans="1:4">
      <c r="A6" s="20" t="s">
        <v>3227</v>
      </c>
      <c r="B6" s="20" t="s">
        <v>3228</v>
      </c>
      <c r="C6" s="1"/>
      <c r="D6" s="1"/>
    </row>
    <row r="7" spans="1:4">
      <c r="A7" s="20" t="s">
        <v>3229</v>
      </c>
      <c r="B7" s="20" t="s">
        <v>3230</v>
      </c>
      <c r="C7" s="1"/>
      <c r="D7" s="1"/>
    </row>
    <row r="8" spans="1:4">
      <c r="A8" s="20" t="s">
        <v>3231</v>
      </c>
      <c r="B8" s="20" t="s">
        <v>3232</v>
      </c>
      <c r="C8" s="1"/>
      <c r="D8" s="1"/>
    </row>
    <row r="9" spans="1:4">
      <c r="A9" s="20" t="s">
        <v>3233</v>
      </c>
      <c r="B9" s="20" t="s">
        <v>3234</v>
      </c>
      <c r="C9" s="1"/>
      <c r="D9" s="1"/>
    </row>
    <row r="10" spans="1:4">
      <c r="A10" s="20" t="s">
        <v>3235</v>
      </c>
      <c r="B10" s="20" t="s">
        <v>3236</v>
      </c>
      <c r="C10" s="1"/>
      <c r="D10" s="1"/>
    </row>
    <row r="11" spans="1:4">
      <c r="A11" s="20" t="s">
        <v>3237</v>
      </c>
      <c r="B11" s="20" t="s">
        <v>3238</v>
      </c>
      <c r="C11" s="1"/>
      <c r="D11" s="1"/>
    </row>
    <row r="12" spans="1:4">
      <c r="A12" s="20" t="s">
        <v>3239</v>
      </c>
      <c r="B12" s="20">
        <v>827</v>
      </c>
      <c r="C12" s="1"/>
      <c r="D12" s="1"/>
    </row>
    <row r="13" spans="1:4">
      <c r="A13" s="20" t="s">
        <v>3240</v>
      </c>
      <c r="B13" s="20">
        <v>37</v>
      </c>
      <c r="C13" s="1"/>
      <c r="D13" s="1"/>
    </row>
    <row r="14" spans="1:4">
      <c r="A14" s="20" t="s">
        <v>3241</v>
      </c>
      <c r="B14" s="20">
        <v>3700</v>
      </c>
      <c r="C14" s="1"/>
      <c r="D14" s="1"/>
    </row>
    <row r="15" spans="1:4">
      <c r="A15" s="20" t="s">
        <v>3242</v>
      </c>
      <c r="B15" s="20" t="s">
        <v>3243</v>
      </c>
      <c r="C15" s="1"/>
      <c r="D15" s="1"/>
    </row>
    <row r="16" spans="1:4">
      <c r="A16" s="20"/>
      <c r="B16" s="20"/>
      <c r="C16" s="1"/>
      <c r="D16" s="1"/>
    </row>
    <row r="17" spans="1:4">
      <c r="A17" s="3" t="s">
        <v>3244</v>
      </c>
      <c r="B17" s="3" t="s">
        <v>3245</v>
      </c>
      <c r="C17" s="1"/>
      <c r="D17" s="1"/>
    </row>
    <row r="18" spans="1:4">
      <c r="A18" s="65" t="s">
        <v>3246</v>
      </c>
      <c r="B18" s="65"/>
      <c r="C18" s="1"/>
      <c r="D18" s="1"/>
    </row>
    <row r="19" spans="1:4">
      <c r="A19" s="65"/>
      <c r="B19" s="65"/>
      <c r="C19" s="1"/>
      <c r="D19" s="1"/>
    </row>
    <row r="20" spans="1:4">
      <c r="A20" s="65"/>
      <c r="B20" s="65"/>
      <c r="C20" s="1"/>
      <c r="D20" s="1"/>
    </row>
    <row r="21" spans="1:4">
      <c r="A21" s="65"/>
      <c r="B21" s="65"/>
      <c r="C21" s="1"/>
      <c r="D21" s="1"/>
    </row>
    <row r="22" spans="1:4">
      <c r="A22" s="20"/>
      <c r="B22" s="20"/>
      <c r="C22" s="1"/>
      <c r="D22" s="1"/>
    </row>
    <row r="23" spans="1:4">
      <c r="A23" s="3" t="s">
        <v>3247</v>
      </c>
      <c r="B23" s="3" t="s">
        <v>3245</v>
      </c>
      <c r="C23" s="1"/>
      <c r="D23" s="1"/>
    </row>
    <row r="24" spans="1:4">
      <c r="A24" s="70" t="s">
        <v>3248</v>
      </c>
      <c r="B24" s="70"/>
      <c r="C24" s="1"/>
      <c r="D24" s="1"/>
    </row>
    <row r="25" spans="1:4">
      <c r="A25" s="70"/>
      <c r="B25" s="70"/>
      <c r="C25" s="1"/>
      <c r="D25" s="1"/>
    </row>
    <row r="26" spans="1:4">
      <c r="A26" s="70"/>
      <c r="B26" s="70"/>
      <c r="C26" s="1"/>
      <c r="D26" s="1"/>
    </row>
    <row r="27" spans="1:4">
      <c r="A27" s="70"/>
      <c r="B27" s="70"/>
      <c r="C27" s="1"/>
      <c r="D27" s="1"/>
    </row>
  </sheetData>
  <mergeCells count="4">
    <mergeCell ref="A1:D1"/>
    <mergeCell ref="A2:D2"/>
    <mergeCell ref="A18:B21"/>
    <mergeCell ref="A24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827 Field Register</vt:lpstr>
      <vt:lpstr>Section Summary</vt:lpstr>
      <vt:lpstr>37 Work Packages</vt:lpstr>
      <vt:lpstr>Controlled Lists</vt:lpstr>
      <vt:lpstr>Source &amp; 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ERICHR 21D03</cp:lastModifiedBy>
  <dcterms:created xsi:type="dcterms:W3CDTF">2026-08-14T16:10:11Z</dcterms:created>
  <dcterms:modified xsi:type="dcterms:W3CDTF">2026-08-14T16:14:43Z</dcterms:modified>
</cp:coreProperties>
</file>